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gramming\Rekap-Keterlambatan\storage\template\"/>
    </mc:Choice>
  </mc:AlternateContent>
  <xr:revisionPtr revIDLastSave="0" documentId="13_ncr:1_{BD1C634A-7268-4B0B-A6AF-F721F18F34D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kap absensi seluruhnya" sheetId="1" r:id="rId1"/>
    <sheet name="Jul" sheetId="19" r:id="rId2"/>
    <sheet name="Ags" sheetId="20" r:id="rId3"/>
    <sheet name="Sep" sheetId="21" r:id="rId4"/>
    <sheet name="Okt" sheetId="22" r:id="rId5"/>
    <sheet name="Nov" sheetId="9" r:id="rId6"/>
    <sheet name="Des" sheetId="23" r:id="rId7"/>
    <sheet name="Jan" sheetId="24" r:id="rId8"/>
    <sheet name="Feb" sheetId="25" r:id="rId9"/>
    <sheet name="Mar" sheetId="26" r:id="rId10"/>
    <sheet name="Apr" sheetId="27" r:id="rId11"/>
    <sheet name="Mei" sheetId="28" r:id="rId12"/>
    <sheet name="Jun" sheetId="2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9" l="1" a="1"/>
  <c r="E11" i="21"/>
  <c r="B21" i="1"/>
  <c r="C20" i="1"/>
  <c r="A19" i="1" a="1"/>
  <c r="E11" i="27" a="1"/>
  <c r="D20" i="1"/>
  <c r="D12" i="1"/>
  <c r="E11" i="25" a="1"/>
  <c r="B20" i="1"/>
  <c r="E11" i="24" a="1"/>
  <c r="E11" i="19"/>
  <c r="E11" i="22"/>
  <c r="D21" i="1"/>
  <c r="E11" i="23"/>
  <c r="E11" i="26" a="1"/>
  <c r="E11" i="28" a="1"/>
  <c r="E11" i="20"/>
  <c r="C21" i="1"/>
  <c r="C23" i="1"/>
  <c r="B22" i="1"/>
  <c r="C22" i="1"/>
  <c r="B23" i="1"/>
  <c r="D23" i="1"/>
  <c r="D22" i="1"/>
  <c r="C26" i="1"/>
  <c r="D25" i="1"/>
  <c r="B24" i="1"/>
  <c r="B26" i="1"/>
  <c r="D26" i="1"/>
  <c r="C25" i="1"/>
  <c r="C24" i="1"/>
  <c r="B25" i="1"/>
  <c r="D24" i="1"/>
  <c r="D28" i="1"/>
  <c r="B29" i="1"/>
  <c r="C28" i="1"/>
  <c r="D29" i="1"/>
  <c r="B27" i="1"/>
  <c r="C29" i="1"/>
  <c r="D27" i="1"/>
  <c r="C27" i="1"/>
  <c r="B28" i="1"/>
  <c r="C30" i="1"/>
  <c r="B30" i="1"/>
  <c r="D30" i="1"/>
  <c r="D31" i="1"/>
  <c r="B31" i="1"/>
  <c r="C31" i="1"/>
  <c r="D32" i="1"/>
  <c r="B32" i="1"/>
  <c r="C32" i="1"/>
  <c r="D33" i="1"/>
  <c r="B33" i="1"/>
  <c r="C33" i="1"/>
  <c r="C34" i="1"/>
  <c r="B34" i="1"/>
  <c r="D34" i="1"/>
  <c r="C35" i="1"/>
  <c r="D35" i="1"/>
  <c r="B35" i="1"/>
  <c r="B36" i="1"/>
  <c r="D36" i="1"/>
  <c r="C36" i="1"/>
  <c r="D37" i="1"/>
  <c r="C37" i="1"/>
  <c r="B37" i="1"/>
  <c r="C38" i="1"/>
  <c r="B38" i="1"/>
  <c r="D38" i="1"/>
  <c r="B39" i="1"/>
  <c r="C39" i="1"/>
  <c r="D39" i="1"/>
  <c r="C40" i="1"/>
  <c r="B40" i="1"/>
  <c r="D40" i="1"/>
  <c r="C41" i="1"/>
  <c r="B41" i="1"/>
  <c r="D41" i="1"/>
  <c r="B42" i="1"/>
  <c r="D42" i="1"/>
  <c r="C42" i="1"/>
  <c r="D43" i="1"/>
  <c r="B43" i="1"/>
  <c r="C43" i="1"/>
  <c r="D44" i="1"/>
  <c r="C44" i="1"/>
  <c r="B44" i="1"/>
  <c r="C45" i="1"/>
  <c r="B45" i="1"/>
  <c r="D45" i="1"/>
  <c r="B46" i="1"/>
  <c r="C46" i="1"/>
  <c r="D46" i="1"/>
  <c r="B47" i="1"/>
  <c r="C47" i="1"/>
  <c r="D47" i="1"/>
  <c r="C48" i="1"/>
  <c r="B48" i="1"/>
  <c r="D48" i="1"/>
  <c r="C49" i="1"/>
  <c r="D49" i="1"/>
  <c r="B49" i="1"/>
  <c r="B50" i="1"/>
  <c r="D50" i="1"/>
  <c r="C50" i="1"/>
  <c r="B51" i="1"/>
  <c r="D51" i="1"/>
  <c r="C51" i="1"/>
  <c r="C52" i="1"/>
  <c r="B52" i="1"/>
  <c r="D52" i="1"/>
  <c r="D53" i="1"/>
  <c r="B53" i="1"/>
  <c r="C53" i="1"/>
  <c r="C54" i="1"/>
  <c r="B54" i="1"/>
  <c r="D54" i="1"/>
  <c r="B55" i="1"/>
  <c r="D55" i="1"/>
  <c r="C55" i="1"/>
  <c r="D56" i="1"/>
  <c r="C56" i="1"/>
  <c r="B56" i="1"/>
  <c r="C57" i="1"/>
  <c r="D57" i="1"/>
  <c r="B57" i="1"/>
  <c r="D58" i="1"/>
  <c r="C58" i="1"/>
  <c r="B58" i="1"/>
  <c r="D59" i="1"/>
  <c r="B59" i="1"/>
  <c r="C59" i="1"/>
  <c r="E11" i="9"/>
  <c r="F11" i="9" l="1"/>
  <c r="E12" i="9"/>
  <c r="C54" i="29"/>
  <c r="C54" i="25"/>
  <c r="C54" i="21"/>
  <c r="C54" i="28"/>
  <c r="C54" i="24"/>
  <c r="C54" i="20"/>
  <c r="C54" i="27"/>
  <c r="C54" i="23"/>
  <c r="C54" i="19"/>
  <c r="C54" i="22"/>
  <c r="C54" i="26"/>
  <c r="C54" i="9"/>
  <c r="B54" i="29"/>
  <c r="B54" i="25"/>
  <c r="B54" i="21"/>
  <c r="B54" i="28"/>
  <c r="B54" i="24"/>
  <c r="B54" i="20"/>
  <c r="B54" i="23"/>
  <c r="B54" i="19"/>
  <c r="B54" i="26"/>
  <c r="B54" i="27"/>
  <c r="B54" i="22"/>
  <c r="B54" i="9"/>
  <c r="D54" i="29"/>
  <c r="D54" i="25"/>
  <c r="D54" i="21"/>
  <c r="D54" i="28"/>
  <c r="D54" i="24"/>
  <c r="D54" i="20"/>
  <c r="D54" i="27"/>
  <c r="D54" i="23"/>
  <c r="D54" i="19"/>
  <c r="D54" i="26"/>
  <c r="D54" i="22"/>
  <c r="D54" i="9"/>
  <c r="B53" i="21"/>
  <c r="B53" i="29"/>
  <c r="B53" i="25"/>
  <c r="B53" i="19"/>
  <c r="B53" i="24"/>
  <c r="B53" i="20"/>
  <c r="B53" i="23"/>
  <c r="B53" i="22"/>
  <c r="B53" i="28"/>
  <c r="B53" i="26"/>
  <c r="B53" i="27"/>
  <c r="B53" i="9"/>
  <c r="C53" i="29"/>
  <c r="C53" i="25"/>
  <c r="C53" i="21"/>
  <c r="C53" i="24"/>
  <c r="C53" i="20"/>
  <c r="C53" i="23"/>
  <c r="C53" i="28"/>
  <c r="C53" i="19"/>
  <c r="C53" i="27"/>
  <c r="C53" i="22"/>
  <c r="C53" i="26"/>
  <c r="C53" i="9"/>
  <c r="D53" i="29"/>
  <c r="D53" i="25"/>
  <c r="D53" i="21"/>
  <c r="D53" i="20"/>
  <c r="D53" i="28"/>
  <c r="D53" i="24"/>
  <c r="D53" i="23"/>
  <c r="D53" i="19"/>
  <c r="D53" i="27"/>
  <c r="D53" i="26"/>
  <c r="D53" i="22"/>
  <c r="D53" i="9"/>
  <c r="B52" i="29"/>
  <c r="B52" i="25"/>
  <c r="B52" i="21"/>
  <c r="B52" i="24"/>
  <c r="B52" i="20"/>
  <c r="B52" i="28"/>
  <c r="B52" i="22"/>
  <c r="B52" i="27"/>
  <c r="B52" i="23"/>
  <c r="B52" i="19"/>
  <c r="B52" i="26"/>
  <c r="B52" i="9"/>
  <c r="D52" i="29"/>
  <c r="D52" i="25"/>
  <c r="D52" i="21"/>
  <c r="D52" i="24"/>
  <c r="D52" i="28"/>
  <c r="D52" i="20"/>
  <c r="D52" i="23"/>
  <c r="D52" i="19"/>
  <c r="D52" i="27"/>
  <c r="D52" i="26"/>
  <c r="D52" i="22"/>
  <c r="D52" i="9"/>
  <c r="C52" i="20"/>
  <c r="C52" i="19"/>
  <c r="C52" i="29"/>
  <c r="C52" i="25"/>
  <c r="C52" i="21"/>
  <c r="C52" i="24"/>
  <c r="C52" i="28"/>
  <c r="C52" i="27"/>
  <c r="C52" i="23"/>
  <c r="C52" i="26"/>
  <c r="C52" i="22"/>
  <c r="C52" i="9"/>
  <c r="B51" i="21"/>
  <c r="B51" i="28"/>
  <c r="B51" i="25"/>
  <c r="B51" i="29"/>
  <c r="B51" i="20"/>
  <c r="B51" i="23"/>
  <c r="B51" i="19"/>
  <c r="B51" i="24"/>
  <c r="B51" i="26"/>
  <c r="B51" i="22"/>
  <c r="B51" i="27"/>
  <c r="B51" i="9"/>
  <c r="C51" i="19"/>
  <c r="C51" i="29"/>
  <c r="C51" i="25"/>
  <c r="C51" i="21"/>
  <c r="C51" i="24"/>
  <c r="C51" i="20"/>
  <c r="C51" i="28"/>
  <c r="C51" i="23"/>
  <c r="C51" i="27"/>
  <c r="C51" i="22"/>
  <c r="C51" i="26"/>
  <c r="C51" i="9"/>
  <c r="D51" i="29"/>
  <c r="D51" i="25"/>
  <c r="D51" i="21"/>
  <c r="D51" i="24"/>
  <c r="D51" i="19"/>
  <c r="D51" i="20"/>
  <c r="D51" i="27"/>
  <c r="D51" i="23"/>
  <c r="D51" i="28"/>
  <c r="D51" i="22"/>
  <c r="D51" i="26"/>
  <c r="D51" i="9"/>
  <c r="C50" i="25"/>
  <c r="C50" i="21"/>
  <c r="C50" i="28"/>
  <c r="C50" i="24"/>
  <c r="C50" i="20"/>
  <c r="C50" i="29"/>
  <c r="C50" i="27"/>
  <c r="C50" i="23"/>
  <c r="C50" i="19"/>
  <c r="C50" i="22"/>
  <c r="C50" i="26"/>
  <c r="C50" i="9"/>
  <c r="D50" i="29"/>
  <c r="D50" i="25"/>
  <c r="D50" i="21"/>
  <c r="D50" i="28"/>
  <c r="D50" i="20"/>
  <c r="D50" i="24"/>
  <c r="D50" i="19"/>
  <c r="D50" i="27"/>
  <c r="D50" i="26"/>
  <c r="D50" i="23"/>
  <c r="D50" i="22"/>
  <c r="D50" i="9"/>
  <c r="B50" i="25"/>
  <c r="B50" i="21"/>
  <c r="B50" i="28"/>
  <c r="B50" i="27"/>
  <c r="B50" i="23"/>
  <c r="B50" i="20"/>
  <c r="B50" i="29"/>
  <c r="B50" i="26"/>
  <c r="B50" i="22"/>
  <c r="B50" i="24"/>
  <c r="B50" i="19"/>
  <c r="B50" i="9"/>
  <c r="D49" i="27"/>
  <c r="D49" i="19"/>
  <c r="D49" i="26"/>
  <c r="D49" i="22"/>
  <c r="D49" i="29"/>
  <c r="D49" i="25"/>
  <c r="D49" i="21"/>
  <c r="D49" i="28"/>
  <c r="D49" i="24"/>
  <c r="D49" i="20"/>
  <c r="D49" i="23"/>
  <c r="D49" i="9"/>
  <c r="B49" i="28"/>
  <c r="B49" i="24"/>
  <c r="B49" i="23"/>
  <c r="B49" i="19"/>
  <c r="B49" i="26"/>
  <c r="B49" i="22"/>
  <c r="B49" i="20"/>
  <c r="B49" i="29"/>
  <c r="B49" i="25"/>
  <c r="B49" i="21"/>
  <c r="B49" i="27"/>
  <c r="B49" i="9"/>
  <c r="C49" i="23"/>
  <c r="C49" i="26"/>
  <c r="C49" i="22"/>
  <c r="C49" i="20"/>
  <c r="C49" i="27"/>
  <c r="C49" i="29"/>
  <c r="C49" i="25"/>
  <c r="C49" i="21"/>
  <c r="C49" i="28"/>
  <c r="C49" i="24"/>
  <c r="C49" i="19"/>
  <c r="C49" i="9"/>
  <c r="C48" i="29"/>
  <c r="C48" i="25"/>
  <c r="C48" i="21"/>
  <c r="C48" i="28"/>
  <c r="C48" i="20"/>
  <c r="C48" i="24"/>
  <c r="C48" i="22"/>
  <c r="C48" i="26"/>
  <c r="C48" i="27"/>
  <c r="C48" i="23"/>
  <c r="C48" i="19"/>
  <c r="C48" i="9"/>
  <c r="B48" i="25"/>
  <c r="B48" i="21"/>
  <c r="B48" i="22"/>
  <c r="B48" i="29"/>
  <c r="B48" i="28"/>
  <c r="B48" i="24"/>
  <c r="B48" i="20"/>
  <c r="B48" i="23"/>
  <c r="B48" i="19"/>
  <c r="B48" i="27"/>
  <c r="B48" i="26"/>
  <c r="B48" i="9"/>
  <c r="D48" i="29"/>
  <c r="D48" i="25"/>
  <c r="D48" i="21"/>
  <c r="D48" i="28"/>
  <c r="D48" i="24"/>
  <c r="D48" i="20"/>
  <c r="D48" i="27"/>
  <c r="D48" i="23"/>
  <c r="D48" i="19"/>
  <c r="D48" i="26"/>
  <c r="D48" i="22"/>
  <c r="D48" i="9"/>
  <c r="D47" i="29"/>
  <c r="D47" i="25"/>
  <c r="D47" i="21"/>
  <c r="D47" i="24"/>
  <c r="D47" i="20"/>
  <c r="D47" i="28"/>
  <c r="D47" i="27"/>
  <c r="D47" i="23"/>
  <c r="D47" i="19"/>
  <c r="D47" i="26"/>
  <c r="D47" i="22"/>
  <c r="D47" i="9"/>
  <c r="B47" i="26"/>
  <c r="B47" i="22"/>
  <c r="B47" i="29"/>
  <c r="B47" i="21"/>
  <c r="B47" i="25"/>
  <c r="B47" i="28"/>
  <c r="B47" i="24"/>
  <c r="B47" i="20"/>
  <c r="B47" i="23"/>
  <c r="B47" i="27"/>
  <c r="B47" i="19"/>
  <c r="B47" i="9"/>
  <c r="C47" i="26"/>
  <c r="C47" i="22"/>
  <c r="C47" i="20"/>
  <c r="C47" i="29"/>
  <c r="C47" i="25"/>
  <c r="C47" i="21"/>
  <c r="C47" i="28"/>
  <c r="C47" i="27"/>
  <c r="C47" i="23"/>
  <c r="C47" i="19"/>
  <c r="C47" i="24"/>
  <c r="C47" i="9"/>
  <c r="C46" i="29"/>
  <c r="C46" i="25"/>
  <c r="C46" i="28"/>
  <c r="C46" i="24"/>
  <c r="C46" i="20"/>
  <c r="C46" i="27"/>
  <c r="C46" i="23"/>
  <c r="C46" i="19"/>
  <c r="C46" i="21"/>
  <c r="C46" i="26"/>
  <c r="C46" i="22"/>
  <c r="C46" i="9"/>
  <c r="D46" i="29"/>
  <c r="D46" i="25"/>
  <c r="D46" i="21"/>
  <c r="D46" i="27"/>
  <c r="D46" i="28"/>
  <c r="D46" i="24"/>
  <c r="D46" i="20"/>
  <c r="D46" i="23"/>
  <c r="D46" i="26"/>
  <c r="D46" i="22"/>
  <c r="D46" i="19"/>
  <c r="D46" i="9"/>
  <c r="B46" i="26"/>
  <c r="B46" i="22"/>
  <c r="B46" i="29"/>
  <c r="B46" i="25"/>
  <c r="B46" i="21"/>
  <c r="B46" i="28"/>
  <c r="B46" i="24"/>
  <c r="B46" i="20"/>
  <c r="B46" i="27"/>
  <c r="B46" i="23"/>
  <c r="B46" i="19"/>
  <c r="B46" i="9"/>
  <c r="C45" i="27"/>
  <c r="C45" i="23"/>
  <c r="C45" i="19"/>
  <c r="C45" i="21"/>
  <c r="C45" i="25"/>
  <c r="C45" i="28"/>
  <c r="C45" i="26"/>
  <c r="C45" i="22"/>
  <c r="C45" i="29"/>
  <c r="C45" i="24"/>
  <c r="C45" i="20"/>
  <c r="C45" i="9"/>
  <c r="D45" i="27"/>
  <c r="D45" i="23"/>
  <c r="D45" i="19"/>
  <c r="D45" i="26"/>
  <c r="D45" i="22"/>
  <c r="D45" i="21"/>
  <c r="D45" i="25"/>
  <c r="D45" i="29"/>
  <c r="D45" i="28"/>
  <c r="D45" i="24"/>
  <c r="D45" i="20"/>
  <c r="D45" i="9"/>
  <c r="B45" i="22"/>
  <c r="B45" i="20"/>
  <c r="B45" i="27"/>
  <c r="B45" i="23"/>
  <c r="B45" i="19"/>
  <c r="B45" i="26"/>
  <c r="B45" i="29"/>
  <c r="B45" i="25"/>
  <c r="B45" i="21"/>
  <c r="B45" i="24"/>
  <c r="B45" i="28"/>
  <c r="B45" i="9"/>
  <c r="B44" i="27"/>
  <c r="B44" i="23"/>
  <c r="B44" i="19"/>
  <c r="B44" i="26"/>
  <c r="B44" i="22"/>
  <c r="B44" i="28"/>
  <c r="B44" i="20"/>
  <c r="B44" i="29"/>
  <c r="B44" i="25"/>
  <c r="B44" i="21"/>
  <c r="B44" i="24"/>
  <c r="B44" i="9"/>
  <c r="D44" i="27"/>
  <c r="D44" i="23"/>
  <c r="D44" i="19"/>
  <c r="D44" i="26"/>
  <c r="D44" i="22"/>
  <c r="D44" i="29"/>
  <c r="D44" i="25"/>
  <c r="D44" i="21"/>
  <c r="D44" i="28"/>
  <c r="D44" i="24"/>
  <c r="D44" i="20"/>
  <c r="D44" i="9"/>
  <c r="C44" i="27"/>
  <c r="C44" i="23"/>
  <c r="C44" i="19"/>
  <c r="C44" i="29"/>
  <c r="C44" i="25"/>
  <c r="C44" i="26"/>
  <c r="C44" i="22"/>
  <c r="C44" i="21"/>
  <c r="C44" i="28"/>
  <c r="C44" i="24"/>
  <c r="C44" i="20"/>
  <c r="C44" i="9"/>
  <c r="D43" i="27"/>
  <c r="D43" i="23"/>
  <c r="D43" i="19"/>
  <c r="D43" i="26"/>
  <c r="D43" i="22"/>
  <c r="D43" i="25"/>
  <c r="D43" i="21"/>
  <c r="D43" i="29"/>
  <c r="D43" i="28"/>
  <c r="D43" i="24"/>
  <c r="D43" i="20"/>
  <c r="D43" i="9"/>
  <c r="B43" i="27"/>
  <c r="B43" i="23"/>
  <c r="B43" i="19"/>
  <c r="B43" i="26"/>
  <c r="B43" i="22"/>
  <c r="B43" i="29"/>
  <c r="B43" i="25"/>
  <c r="B43" i="21"/>
  <c r="B43" i="24"/>
  <c r="B43" i="28"/>
  <c r="B43" i="20"/>
  <c r="B43" i="9"/>
  <c r="C43" i="21"/>
  <c r="C43" i="27"/>
  <c r="C43" i="23"/>
  <c r="C43" i="19"/>
  <c r="C43" i="29"/>
  <c r="C43" i="25"/>
  <c r="C43" i="26"/>
  <c r="C43" i="22"/>
  <c r="C43" i="24"/>
  <c r="C43" i="20"/>
  <c r="C43" i="28"/>
  <c r="C43" i="9"/>
  <c r="D42" i="26"/>
  <c r="D42" i="22"/>
  <c r="D42" i="25"/>
  <c r="D42" i="21"/>
  <c r="D42" i="23"/>
  <c r="D42" i="29"/>
  <c r="D42" i="27"/>
  <c r="D42" i="19"/>
  <c r="D42" i="28"/>
  <c r="D42" i="24"/>
  <c r="D42" i="20"/>
  <c r="D42" i="9"/>
  <c r="C42" i="27"/>
  <c r="C42" i="23"/>
  <c r="C42" i="19"/>
  <c r="C42" i="26"/>
  <c r="C42" i="22"/>
  <c r="C42" i="29"/>
  <c r="C42" i="25"/>
  <c r="C42" i="21"/>
  <c r="C42" i="24"/>
  <c r="C42" i="28"/>
  <c r="C42" i="20"/>
  <c r="C42" i="9"/>
  <c r="B42" i="27"/>
  <c r="B42" i="23"/>
  <c r="B42" i="19"/>
  <c r="B42" i="26"/>
  <c r="B42" i="22"/>
  <c r="B42" i="28"/>
  <c r="B42" i="29"/>
  <c r="B42" i="25"/>
  <c r="B42" i="21"/>
  <c r="B42" i="20"/>
  <c r="B42" i="24"/>
  <c r="B42" i="9"/>
  <c r="D41" i="26"/>
  <c r="D41" i="22"/>
  <c r="D41" i="29"/>
  <c r="D41" i="25"/>
  <c r="D41" i="21"/>
  <c r="D41" i="23"/>
  <c r="D41" i="27"/>
  <c r="D41" i="28"/>
  <c r="D41" i="24"/>
  <c r="D41" i="20"/>
  <c r="D41" i="19"/>
  <c r="D41" i="9"/>
  <c r="C41" i="27"/>
  <c r="C41" i="23"/>
  <c r="C41" i="19"/>
  <c r="C41" i="26"/>
  <c r="C41" i="29"/>
  <c r="C41" i="25"/>
  <c r="C41" i="21"/>
  <c r="C41" i="22"/>
  <c r="C41" i="28"/>
  <c r="C41" i="24"/>
  <c r="C41" i="20"/>
  <c r="C41" i="9"/>
  <c r="B41" i="27"/>
  <c r="B41" i="23"/>
  <c r="B41" i="19"/>
  <c r="B41" i="26"/>
  <c r="B41" i="22"/>
  <c r="B41" i="29"/>
  <c r="B41" i="25"/>
  <c r="B41" i="21"/>
  <c r="B41" i="28"/>
  <c r="B41" i="24"/>
  <c r="B41" i="20"/>
  <c r="B41" i="9"/>
  <c r="D40" i="27"/>
  <c r="D40" i="23"/>
  <c r="D40" i="19"/>
  <c r="D40" i="26"/>
  <c r="D40" i="22"/>
  <c r="D40" i="29"/>
  <c r="D40" i="25"/>
  <c r="D40" i="21"/>
  <c r="D40" i="28"/>
  <c r="D40" i="24"/>
  <c r="D40" i="20"/>
  <c r="D40" i="9"/>
  <c r="B40" i="27"/>
  <c r="B40" i="23"/>
  <c r="B40" i="19"/>
  <c r="B40" i="24"/>
  <c r="B40" i="26"/>
  <c r="B40" i="22"/>
  <c r="B40" i="25"/>
  <c r="B40" i="28"/>
  <c r="B40" i="21"/>
  <c r="B40" i="29"/>
  <c r="B40" i="20"/>
  <c r="B40" i="9"/>
  <c r="C40" i="23"/>
  <c r="C40" i="27"/>
  <c r="C40" i="19"/>
  <c r="C40" i="26"/>
  <c r="C40" i="22"/>
  <c r="C40" i="24"/>
  <c r="C40" i="29"/>
  <c r="C40" i="25"/>
  <c r="C40" i="21"/>
  <c r="C40" i="20"/>
  <c r="C40" i="28"/>
  <c r="C40" i="9"/>
  <c r="B39" i="26"/>
  <c r="B39" i="27"/>
  <c r="B39" i="23"/>
  <c r="B39" i="19"/>
  <c r="B39" i="22"/>
  <c r="B39" i="28"/>
  <c r="B39" i="20"/>
  <c r="B39" i="29"/>
  <c r="B39" i="25"/>
  <c r="B39" i="21"/>
  <c r="B39" i="24"/>
  <c r="B39" i="9"/>
  <c r="C39" i="23"/>
  <c r="C39" i="27"/>
  <c r="C39" i="19"/>
  <c r="C39" i="26"/>
  <c r="C39" i="22"/>
  <c r="C39" i="29"/>
  <c r="C39" i="25"/>
  <c r="C39" i="21"/>
  <c r="C39" i="28"/>
  <c r="C39" i="24"/>
  <c r="C39" i="20"/>
  <c r="C39" i="9"/>
  <c r="D39" i="27"/>
  <c r="D39" i="23"/>
  <c r="D39" i="19"/>
  <c r="D39" i="26"/>
  <c r="D39" i="22"/>
  <c r="D39" i="29"/>
  <c r="D39" i="25"/>
  <c r="D39" i="21"/>
  <c r="D39" i="28"/>
  <c r="D39" i="24"/>
  <c r="D39" i="20"/>
  <c r="D39" i="9"/>
  <c r="C38" i="27"/>
  <c r="C38" i="23"/>
  <c r="C38" i="19"/>
  <c r="C38" i="26"/>
  <c r="C38" i="22"/>
  <c r="C38" i="29"/>
  <c r="C38" i="25"/>
  <c r="C38" i="21"/>
  <c r="C38" i="28"/>
  <c r="C38" i="24"/>
  <c r="C38" i="20"/>
  <c r="C38" i="9"/>
  <c r="B38" i="27"/>
  <c r="B38" i="23"/>
  <c r="B38" i="19"/>
  <c r="B38" i="26"/>
  <c r="B38" i="22"/>
  <c r="B38" i="29"/>
  <c r="B38" i="25"/>
  <c r="B38" i="21"/>
  <c r="B38" i="20"/>
  <c r="B38" i="28"/>
  <c r="B38" i="24"/>
  <c r="B38" i="9"/>
  <c r="D38" i="27"/>
  <c r="D38" i="23"/>
  <c r="D38" i="19"/>
  <c r="D38" i="26"/>
  <c r="D38" i="22"/>
  <c r="D38" i="29"/>
  <c r="D38" i="25"/>
  <c r="D38" i="21"/>
  <c r="D38" i="28"/>
  <c r="D38" i="24"/>
  <c r="D38" i="20"/>
  <c r="D38" i="9"/>
  <c r="C37" i="27"/>
  <c r="C37" i="23"/>
  <c r="C37" i="19"/>
  <c r="C37" i="26"/>
  <c r="C37" i="22"/>
  <c r="C37" i="28"/>
  <c r="C37" i="24"/>
  <c r="C37" i="20"/>
  <c r="C37" i="29"/>
  <c r="C37" i="25"/>
  <c r="C37" i="21"/>
  <c r="C37" i="9"/>
  <c r="D37" i="27"/>
  <c r="D37" i="23"/>
  <c r="D37" i="19"/>
  <c r="D37" i="26"/>
  <c r="D37" i="22"/>
  <c r="D37" i="21"/>
  <c r="D37" i="25"/>
  <c r="D37" i="29"/>
  <c r="D37" i="28"/>
  <c r="D37" i="24"/>
  <c r="D37" i="20"/>
  <c r="D37" i="9"/>
  <c r="B37" i="23"/>
  <c r="B37" i="27"/>
  <c r="B37" i="19"/>
  <c r="B37" i="22"/>
  <c r="B37" i="26"/>
  <c r="B37" i="29"/>
  <c r="B37" i="25"/>
  <c r="B37" i="21"/>
  <c r="B37" i="28"/>
  <c r="B37" i="24"/>
  <c r="B37" i="20"/>
  <c r="B37" i="9"/>
  <c r="D36" i="27"/>
  <c r="D36" i="23"/>
  <c r="D36" i="19"/>
  <c r="D36" i="25"/>
  <c r="D36" i="21"/>
  <c r="D36" i="26"/>
  <c r="D36" i="22"/>
  <c r="D36" i="29"/>
  <c r="D36" i="28"/>
  <c r="D36" i="24"/>
  <c r="D36" i="20"/>
  <c r="D36" i="9"/>
  <c r="B36" i="21"/>
  <c r="B36" i="25"/>
  <c r="B36" i="27"/>
  <c r="B36" i="23"/>
  <c r="B36" i="19"/>
  <c r="B36" i="29"/>
  <c r="B36" i="26"/>
  <c r="B36" i="22"/>
  <c r="B36" i="28"/>
  <c r="B36" i="24"/>
  <c r="B36" i="20"/>
  <c r="B36" i="9"/>
  <c r="C36" i="29"/>
  <c r="C36" i="27"/>
  <c r="C36" i="23"/>
  <c r="C36" i="19"/>
  <c r="C36" i="21"/>
  <c r="C36" i="25"/>
  <c r="C36" i="26"/>
  <c r="C36" i="22"/>
  <c r="C36" i="28"/>
  <c r="C36" i="24"/>
  <c r="C36" i="20"/>
  <c r="C36" i="9"/>
  <c r="D35" i="27"/>
  <c r="D35" i="23"/>
  <c r="D35" i="19"/>
  <c r="D35" i="26"/>
  <c r="D35" i="22"/>
  <c r="D35" i="29"/>
  <c r="D35" i="25"/>
  <c r="D35" i="21"/>
  <c r="D35" i="28"/>
  <c r="D35" i="24"/>
  <c r="D35" i="20"/>
  <c r="D35" i="9"/>
  <c r="B35" i="27"/>
  <c r="B35" i="23"/>
  <c r="B35" i="19"/>
  <c r="B35" i="29"/>
  <c r="B35" i="21"/>
  <c r="B35" i="26"/>
  <c r="B35" i="22"/>
  <c r="B35" i="25"/>
  <c r="B35" i="28"/>
  <c r="B35" i="24"/>
  <c r="B35" i="20"/>
  <c r="B35" i="9"/>
  <c r="C35" i="27"/>
  <c r="C35" i="23"/>
  <c r="C35" i="19"/>
  <c r="C35" i="26"/>
  <c r="C35" i="22"/>
  <c r="C35" i="29"/>
  <c r="C35" i="25"/>
  <c r="C35" i="21"/>
  <c r="C35" i="28"/>
  <c r="C35" i="24"/>
  <c r="C35" i="20"/>
  <c r="C35" i="9"/>
  <c r="D34" i="27"/>
  <c r="D34" i="23"/>
  <c r="D34" i="19"/>
  <c r="D34" i="22"/>
  <c r="D34" i="28"/>
  <c r="D34" i="26"/>
  <c r="D34" i="20"/>
  <c r="D34" i="29"/>
  <c r="D34" i="25"/>
  <c r="D34" i="21"/>
  <c r="D34" i="24"/>
  <c r="D34" i="9"/>
  <c r="C34" i="27"/>
  <c r="C34" i="23"/>
  <c r="C34" i="19"/>
  <c r="C34" i="24"/>
  <c r="C34" i="20"/>
  <c r="C34" i="28"/>
  <c r="C34" i="26"/>
  <c r="C34" i="22"/>
  <c r="C34" i="29"/>
  <c r="C34" i="25"/>
  <c r="C34" i="21"/>
  <c r="C34" i="9"/>
  <c r="B34" i="29"/>
  <c r="B34" i="27"/>
  <c r="B34" i="23"/>
  <c r="B34" i="19"/>
  <c r="B34" i="26"/>
  <c r="B34" i="22"/>
  <c r="B34" i="25"/>
  <c r="B34" i="21"/>
  <c r="B34" i="28"/>
  <c r="B34" i="24"/>
  <c r="B34" i="20"/>
  <c r="B34" i="9"/>
  <c r="D33" i="27"/>
  <c r="D33" i="23"/>
  <c r="D33" i="19"/>
  <c r="D33" i="26"/>
  <c r="D33" i="22"/>
  <c r="D33" i="28"/>
  <c r="D33" i="29"/>
  <c r="D33" i="25"/>
  <c r="D33" i="21"/>
  <c r="D33" i="24"/>
  <c r="D33" i="20"/>
  <c r="D33" i="9"/>
  <c r="B33" i="27"/>
  <c r="B33" i="23"/>
  <c r="B33" i="26"/>
  <c r="B33" i="22"/>
  <c r="B33" i="29"/>
  <c r="B33" i="25"/>
  <c r="B33" i="21"/>
  <c r="B33" i="19"/>
  <c r="B33" i="28"/>
  <c r="B33" i="24"/>
  <c r="B33" i="20"/>
  <c r="B33" i="9"/>
  <c r="C33" i="27"/>
  <c r="C33" i="23"/>
  <c r="C33" i="19"/>
  <c r="C33" i="26"/>
  <c r="C33" i="22"/>
  <c r="C33" i="29"/>
  <c r="C33" i="25"/>
  <c r="C33" i="21"/>
  <c r="C33" i="28"/>
  <c r="C33" i="24"/>
  <c r="C33" i="20"/>
  <c r="C33" i="9"/>
  <c r="B32" i="27"/>
  <c r="B32" i="23"/>
  <c r="B32" i="19"/>
  <c r="B32" i="26"/>
  <c r="B32" i="22"/>
  <c r="B32" i="29"/>
  <c r="B32" i="25"/>
  <c r="B32" i="21"/>
  <c r="B32" i="28"/>
  <c r="B32" i="24"/>
  <c r="B32" i="20"/>
  <c r="B32" i="9"/>
  <c r="C32" i="22"/>
  <c r="C32" i="27"/>
  <c r="C32" i="23"/>
  <c r="C32" i="19"/>
  <c r="C32" i="26"/>
  <c r="C32" i="29"/>
  <c r="C32" i="25"/>
  <c r="C32" i="21"/>
  <c r="C32" i="28"/>
  <c r="C32" i="24"/>
  <c r="C32" i="20"/>
  <c r="C32" i="9"/>
  <c r="D32" i="27"/>
  <c r="D32" i="23"/>
  <c r="D32" i="19"/>
  <c r="D32" i="28"/>
  <c r="D32" i="26"/>
  <c r="D32" i="22"/>
  <c r="D32" i="29"/>
  <c r="D32" i="25"/>
  <c r="D32" i="21"/>
  <c r="D32" i="20"/>
  <c r="D32" i="24"/>
  <c r="D32" i="9"/>
  <c r="C31" i="27"/>
  <c r="C31" i="23"/>
  <c r="C31" i="19"/>
  <c r="C31" i="26"/>
  <c r="C31" i="22"/>
  <c r="C31" i="20"/>
  <c r="C31" i="24"/>
  <c r="C31" i="29"/>
  <c r="C31" i="25"/>
  <c r="C31" i="21"/>
  <c r="C31" i="28"/>
  <c r="C31" i="9"/>
  <c r="D31" i="27"/>
  <c r="D31" i="23"/>
  <c r="D31" i="19"/>
  <c r="D31" i="26"/>
  <c r="D31" i="22"/>
  <c r="D31" i="29"/>
  <c r="D31" i="25"/>
  <c r="D31" i="21"/>
  <c r="D31" i="28"/>
  <c r="D31" i="24"/>
  <c r="D31" i="20"/>
  <c r="D31" i="9"/>
  <c r="B31" i="27"/>
  <c r="B31" i="23"/>
  <c r="B31" i="19"/>
  <c r="B31" i="26"/>
  <c r="B31" i="22"/>
  <c r="B31" i="29"/>
  <c r="B31" i="25"/>
  <c r="B31" i="21"/>
  <c r="B31" i="28"/>
  <c r="B31" i="24"/>
  <c r="B31" i="20"/>
  <c r="B31" i="9"/>
  <c r="B30" i="19"/>
  <c r="B30" i="27"/>
  <c r="B30" i="23"/>
  <c r="B30" i="22"/>
  <c r="B30" i="26"/>
  <c r="B30" i="29"/>
  <c r="B30" i="25"/>
  <c r="B30" i="21"/>
  <c r="B30" i="28"/>
  <c r="B30" i="24"/>
  <c r="B30" i="20"/>
  <c r="B30" i="9"/>
  <c r="D30" i="27"/>
  <c r="D30" i="23"/>
  <c r="D30" i="19"/>
  <c r="D30" i="26"/>
  <c r="D30" i="22"/>
  <c r="D30" i="29"/>
  <c r="D30" i="25"/>
  <c r="D30" i="21"/>
  <c r="D30" i="28"/>
  <c r="D30" i="24"/>
  <c r="D30" i="20"/>
  <c r="D30" i="9"/>
  <c r="C30" i="27"/>
  <c r="C30" i="23"/>
  <c r="C30" i="19"/>
  <c r="C30" i="26"/>
  <c r="C30" i="22"/>
  <c r="C30" i="29"/>
  <c r="C30" i="25"/>
  <c r="C30" i="21"/>
  <c r="C30" i="28"/>
  <c r="C30" i="24"/>
  <c r="C30" i="20"/>
  <c r="C30" i="9"/>
  <c r="D29" i="27"/>
  <c r="D29" i="23"/>
  <c r="D29" i="19"/>
  <c r="D29" i="26"/>
  <c r="D29" i="22"/>
  <c r="D29" i="29"/>
  <c r="D29" i="25"/>
  <c r="D29" i="21"/>
  <c r="D29" i="28"/>
  <c r="D29" i="24"/>
  <c r="D29" i="20"/>
  <c r="D29" i="9"/>
  <c r="B29" i="27"/>
  <c r="B29" i="23"/>
  <c r="B29" i="19"/>
  <c r="B29" i="26"/>
  <c r="B29" i="22"/>
  <c r="B29" i="29"/>
  <c r="B29" i="25"/>
  <c r="B29" i="21"/>
  <c r="B29" i="28"/>
  <c r="B29" i="24"/>
  <c r="B29" i="20"/>
  <c r="B29" i="9"/>
  <c r="C29" i="27"/>
  <c r="C29" i="23"/>
  <c r="C29" i="19"/>
  <c r="C29" i="24"/>
  <c r="C29" i="26"/>
  <c r="C29" i="22"/>
  <c r="C29" i="20"/>
  <c r="C29" i="21"/>
  <c r="C29" i="29"/>
  <c r="C29" i="25"/>
  <c r="C29" i="28"/>
  <c r="C29" i="9"/>
  <c r="C28" i="27"/>
  <c r="C28" i="23"/>
  <c r="C28" i="29"/>
  <c r="C28" i="25"/>
  <c r="C28" i="21"/>
  <c r="C28" i="19"/>
  <c r="C28" i="22"/>
  <c r="C28" i="26"/>
  <c r="C28" i="28"/>
  <c r="C28" i="24"/>
  <c r="C28" i="20"/>
  <c r="C28" i="9"/>
  <c r="B28" i="27"/>
  <c r="B28" i="23"/>
  <c r="B28" i="19"/>
  <c r="B28" i="26"/>
  <c r="B28" i="22"/>
  <c r="B28" i="28"/>
  <c r="B28" i="29"/>
  <c r="B28" i="25"/>
  <c r="B28" i="21"/>
  <c r="B28" i="24"/>
  <c r="B28" i="20"/>
  <c r="B28" i="9"/>
  <c r="D28" i="27"/>
  <c r="D28" i="23"/>
  <c r="D28" i="19"/>
  <c r="D28" i="26"/>
  <c r="D28" i="22"/>
  <c r="D28" i="29"/>
  <c r="D28" i="25"/>
  <c r="D28" i="21"/>
  <c r="D28" i="28"/>
  <c r="D28" i="24"/>
  <c r="D28" i="20"/>
  <c r="D28" i="9"/>
  <c r="C27" i="27"/>
  <c r="C27" i="23"/>
  <c r="C27" i="19"/>
  <c r="C27" i="26"/>
  <c r="C27" i="22"/>
  <c r="C27" i="29"/>
  <c r="C27" i="25"/>
  <c r="C27" i="21"/>
  <c r="C27" i="28"/>
  <c r="C27" i="24"/>
  <c r="C27" i="20"/>
  <c r="C27" i="9"/>
  <c r="B27" i="27"/>
  <c r="B27" i="23"/>
  <c r="B27" i="19"/>
  <c r="B27" i="26"/>
  <c r="B27" i="22"/>
  <c r="B27" i="20"/>
  <c r="B27" i="29"/>
  <c r="B27" i="25"/>
  <c r="B27" i="21"/>
  <c r="B27" i="28"/>
  <c r="B27" i="24"/>
  <c r="B27" i="9"/>
  <c r="D27" i="27"/>
  <c r="D27" i="23"/>
  <c r="D27" i="19"/>
  <c r="D27" i="26"/>
  <c r="D27" i="22"/>
  <c r="D27" i="25"/>
  <c r="D27" i="20"/>
  <c r="D27" i="29"/>
  <c r="D27" i="21"/>
  <c r="D27" i="28"/>
  <c r="D27" i="24"/>
  <c r="D27" i="9"/>
  <c r="C26" i="27"/>
  <c r="C26" i="23"/>
  <c r="C26" i="19"/>
  <c r="C26" i="29"/>
  <c r="C26" i="25"/>
  <c r="C26" i="21"/>
  <c r="C26" i="28"/>
  <c r="C26" i="20"/>
  <c r="C26" i="26"/>
  <c r="C26" i="24"/>
  <c r="C26" i="22"/>
  <c r="C26" i="9"/>
  <c r="B26" i="27"/>
  <c r="B26" i="23"/>
  <c r="B26" i="19"/>
  <c r="B26" i="29"/>
  <c r="B26" i="25"/>
  <c r="B26" i="21"/>
  <c r="B26" i="28"/>
  <c r="B26" i="24"/>
  <c r="B26" i="20"/>
  <c r="B26" i="26"/>
  <c r="B26" i="22"/>
  <c r="B26" i="9"/>
  <c r="D26" i="27"/>
  <c r="D26" i="23"/>
  <c r="D26" i="19"/>
  <c r="D26" i="28"/>
  <c r="D26" i="20"/>
  <c r="D26" i="26"/>
  <c r="D26" i="25"/>
  <c r="D26" i="24"/>
  <c r="D26" i="22"/>
  <c r="D26" i="29"/>
  <c r="D26" i="21"/>
  <c r="D26" i="9"/>
  <c r="D25" i="27"/>
  <c r="D25" i="23"/>
  <c r="D25" i="19"/>
  <c r="D25" i="26"/>
  <c r="D25" i="22"/>
  <c r="D25" i="29"/>
  <c r="D25" i="25"/>
  <c r="D25" i="21"/>
  <c r="D25" i="28"/>
  <c r="D25" i="24"/>
  <c r="D25" i="20"/>
  <c r="D25" i="9"/>
  <c r="B25" i="27"/>
  <c r="B25" i="23"/>
  <c r="B25" i="19"/>
  <c r="B25" i="26"/>
  <c r="B25" i="22"/>
  <c r="B25" i="29"/>
  <c r="B25" i="25"/>
  <c r="B25" i="21"/>
  <c r="B25" i="28"/>
  <c r="B25" i="24"/>
  <c r="B25" i="20"/>
  <c r="B25" i="9"/>
  <c r="C25" i="27"/>
  <c r="C25" i="23"/>
  <c r="C25" i="19"/>
  <c r="C25" i="26"/>
  <c r="C25" i="22"/>
  <c r="C25" i="29"/>
  <c r="C25" i="25"/>
  <c r="C25" i="21"/>
  <c r="C25" i="28"/>
  <c r="C25" i="24"/>
  <c r="C25" i="20"/>
  <c r="C25" i="9"/>
  <c r="B23" i="28"/>
  <c r="B23" i="20"/>
  <c r="B23" i="27"/>
  <c r="B23" i="19"/>
  <c r="B23" i="26"/>
  <c r="B23" i="22"/>
  <c r="B23" i="25"/>
  <c r="B23" i="21"/>
  <c r="B23" i="24"/>
  <c r="B23" i="23"/>
  <c r="B23" i="29"/>
  <c r="B23" i="9"/>
  <c r="C22" i="27"/>
  <c r="C22" i="26"/>
  <c r="C22" i="22"/>
  <c r="C22" i="28"/>
  <c r="C22" i="19"/>
  <c r="C22" i="29"/>
  <c r="C22" i="25"/>
  <c r="C22" i="24"/>
  <c r="C22" i="20"/>
  <c r="C22" i="23"/>
  <c r="C22" i="21"/>
  <c r="C22" i="9"/>
  <c r="D22" i="26"/>
  <c r="D22" i="29"/>
  <c r="D22" i="25"/>
  <c r="D22" i="21"/>
  <c r="D22" i="27"/>
  <c r="D22" i="28"/>
  <c r="D22" i="24"/>
  <c r="D22" i="20"/>
  <c r="D22" i="23"/>
  <c r="D22" i="19"/>
  <c r="D22" i="22"/>
  <c r="D22" i="9"/>
  <c r="C24" i="26"/>
  <c r="C24" i="22"/>
  <c r="C24" i="20"/>
  <c r="C24" i="28"/>
  <c r="C24" i="19"/>
  <c r="C24" i="21"/>
  <c r="C24" i="29"/>
  <c r="C24" i="27"/>
  <c r="C24" i="25"/>
  <c r="C24" i="24"/>
  <c r="C24" i="23"/>
  <c r="C24" i="9"/>
  <c r="B22" i="28"/>
  <c r="B22" i="27"/>
  <c r="B22" i="23"/>
  <c r="B22" i="19"/>
  <c r="B22" i="29"/>
  <c r="B22" i="21"/>
  <c r="B22" i="24"/>
  <c r="B22" i="20"/>
  <c r="B22" i="26"/>
  <c r="B22" i="22"/>
  <c r="B22" i="25"/>
  <c r="B22" i="9"/>
  <c r="D24" i="24"/>
  <c r="D24" i="19"/>
  <c r="D24" i="23"/>
  <c r="D24" i="22"/>
  <c r="D24" i="26"/>
  <c r="D24" i="25"/>
  <c r="D24" i="20"/>
  <c r="D24" i="29"/>
  <c r="D24" i="28"/>
  <c r="D24" i="27"/>
  <c r="D24" i="21"/>
  <c r="D24" i="9"/>
  <c r="C23" i="27"/>
  <c r="C23" i="19"/>
  <c r="C23" i="26"/>
  <c r="C23" i="22"/>
  <c r="C23" i="25"/>
  <c r="C23" i="21"/>
  <c r="C23" i="28"/>
  <c r="C23" i="23"/>
  <c r="C23" i="29"/>
  <c r="C23" i="24"/>
  <c r="C23" i="20"/>
  <c r="C23" i="9"/>
  <c r="B24" i="29"/>
  <c r="B24" i="24"/>
  <c r="B24" i="28"/>
  <c r="B24" i="27"/>
  <c r="B24" i="22"/>
  <c r="B24" i="25"/>
  <c r="B24" i="19"/>
  <c r="B24" i="26"/>
  <c r="B24" i="23"/>
  <c r="B24" i="21"/>
  <c r="B24" i="20"/>
  <c r="B24" i="9"/>
  <c r="D23" i="24"/>
  <c r="D23" i="27"/>
  <c r="D23" i="19"/>
  <c r="D23" i="26"/>
  <c r="D23" i="22"/>
  <c r="D23" i="25"/>
  <c r="D23" i="21"/>
  <c r="D23" i="28"/>
  <c r="D23" i="23"/>
  <c r="D23" i="29"/>
  <c r="D23" i="20"/>
  <c r="D23" i="9"/>
  <c r="D19" i="28"/>
  <c r="D19" i="24"/>
  <c r="D19" i="27"/>
  <c r="D19" i="23"/>
  <c r="D19" i="19"/>
  <c r="D19" i="21"/>
  <c r="D19" i="20"/>
  <c r="D19" i="26"/>
  <c r="D19" i="22"/>
  <c r="D19" i="29"/>
  <c r="D19" i="25"/>
  <c r="D19" i="9"/>
  <c r="B20" i="19"/>
  <c r="B20" i="26"/>
  <c r="B20" i="22"/>
  <c r="B20" i="28"/>
  <c r="B20" i="23"/>
  <c r="B20" i="29"/>
  <c r="B20" i="25"/>
  <c r="B20" i="21"/>
  <c r="B20" i="24"/>
  <c r="B20" i="20"/>
  <c r="B20" i="27"/>
  <c r="B20" i="9"/>
  <c r="C19" i="26"/>
  <c r="C19" i="29"/>
  <c r="C19" i="25"/>
  <c r="C19" i="20"/>
  <c r="C19" i="27"/>
  <c r="C19" i="23"/>
  <c r="C19" i="19"/>
  <c r="C19" i="22"/>
  <c r="C19" i="21"/>
  <c r="C19" i="28"/>
  <c r="C19" i="24"/>
  <c r="C19" i="9"/>
  <c r="C20" i="28"/>
  <c r="C20" i="26"/>
  <c r="C20" i="19"/>
  <c r="C20" i="22"/>
  <c r="C20" i="25"/>
  <c r="C20" i="21"/>
  <c r="C20" i="24"/>
  <c r="C20" i="23"/>
  <c r="C20" i="20"/>
  <c r="C20" i="27"/>
  <c r="C20" i="29"/>
  <c r="C20" i="9"/>
  <c r="D21" i="24"/>
  <c r="D21" i="20"/>
  <c r="D21" i="21"/>
  <c r="D21" i="27"/>
  <c r="D21" i="23"/>
  <c r="D21" i="26"/>
  <c r="D21" i="19"/>
  <c r="D21" i="22"/>
  <c r="D21" i="25"/>
  <c r="D21" i="29"/>
  <c r="D21" i="28"/>
  <c r="D21" i="9"/>
  <c r="B21" i="21"/>
  <c r="B21" i="20"/>
  <c r="B21" i="26"/>
  <c r="B21" i="28"/>
  <c r="B21" i="24"/>
  <c r="B21" i="27"/>
  <c r="B21" i="29"/>
  <c r="B21" i="25"/>
  <c r="B21" i="23"/>
  <c r="B21" i="19"/>
  <c r="B21" i="22"/>
  <c r="B21" i="9"/>
  <c r="B19" i="25"/>
  <c r="B19" i="19"/>
  <c r="B19" i="22"/>
  <c r="B19" i="29"/>
  <c r="B19" i="28"/>
  <c r="B19" i="21"/>
  <c r="B19" i="24"/>
  <c r="B19" i="20"/>
  <c r="B19" i="27"/>
  <c r="B19" i="23"/>
  <c r="B19" i="26"/>
  <c r="B19" i="9"/>
  <c r="D20" i="24"/>
  <c r="D20" i="20"/>
  <c r="D20" i="23"/>
  <c r="D20" i="29"/>
  <c r="D20" i="19"/>
  <c r="D20" i="26"/>
  <c r="D20" i="22"/>
  <c r="D20" i="25"/>
  <c r="D20" i="21"/>
  <c r="D20" i="28"/>
  <c r="D20" i="27"/>
  <c r="D20" i="9"/>
  <c r="C21" i="26"/>
  <c r="C21" i="22"/>
  <c r="C21" i="29"/>
  <c r="C21" i="21"/>
  <c r="C21" i="28"/>
  <c r="C21" i="24"/>
  <c r="C21" i="20"/>
  <c r="C21" i="27"/>
  <c r="C21" i="23"/>
  <c r="C21" i="19"/>
  <c r="C21" i="25"/>
  <c r="C21" i="9"/>
  <c r="D17" i="22"/>
  <c r="D17" i="29"/>
  <c r="D17" i="25"/>
  <c r="D17" i="21"/>
  <c r="D17" i="28"/>
  <c r="D17" i="27"/>
  <c r="D17" i="23"/>
  <c r="D17" i="24"/>
  <c r="D17" i="26"/>
  <c r="D17" i="20"/>
  <c r="D17" i="19"/>
  <c r="D17" i="9"/>
  <c r="D18" i="19"/>
  <c r="D18" i="26"/>
  <c r="D18" i="22"/>
  <c r="D18" i="27"/>
  <c r="D18" i="29"/>
  <c r="D18" i="25"/>
  <c r="D18" i="21"/>
  <c r="D18" i="20"/>
  <c r="D18" i="23"/>
  <c r="D18" i="28"/>
  <c r="D18" i="24"/>
  <c r="D18" i="9"/>
  <c r="B18" i="22"/>
  <c r="B18" i="28"/>
  <c r="B18" i="25"/>
  <c r="B18" i="29"/>
  <c r="B18" i="21"/>
  <c r="B18" i="24"/>
  <c r="B18" i="27"/>
  <c r="B18" i="23"/>
  <c r="B18" i="19"/>
  <c r="B18" i="20"/>
  <c r="B18" i="26"/>
  <c r="B18" i="9"/>
  <c r="C17" i="21"/>
  <c r="C17" i="19"/>
  <c r="C17" i="27"/>
  <c r="C17" i="23"/>
  <c r="C17" i="20"/>
  <c r="C17" i="26"/>
  <c r="C17" i="22"/>
  <c r="C17" i="28"/>
  <c r="C17" i="24"/>
  <c r="C17" i="29"/>
  <c r="C17" i="25"/>
  <c r="C17" i="9"/>
  <c r="B17" i="22"/>
  <c r="B17" i="29"/>
  <c r="B17" i="25"/>
  <c r="B17" i="21"/>
  <c r="B17" i="23"/>
  <c r="B17" i="28"/>
  <c r="B17" i="20"/>
  <c r="B17" i="26"/>
  <c r="B17" i="27"/>
  <c r="B17" i="24"/>
  <c r="B17" i="19"/>
  <c r="B17" i="9"/>
  <c r="C18" i="24"/>
  <c r="C18" i="20"/>
  <c r="C18" i="28"/>
  <c r="C18" i="27"/>
  <c r="C18" i="23"/>
  <c r="C18" i="19"/>
  <c r="C18" i="26"/>
  <c r="C18" i="22"/>
  <c r="C18" i="29"/>
  <c r="C18" i="25"/>
  <c r="C18" i="21"/>
  <c r="C18" i="9"/>
  <c r="C16" i="26"/>
  <c r="C16" i="22"/>
  <c r="C16" i="29"/>
  <c r="C16" i="25"/>
  <c r="C16" i="21"/>
  <c r="C16" i="28"/>
  <c r="C16" i="24"/>
  <c r="C16" i="20"/>
  <c r="C16" i="27"/>
  <c r="C16" i="23"/>
  <c r="C16" i="19"/>
  <c r="C16" i="9"/>
  <c r="E12" i="20"/>
  <c r="F11" i="20"/>
  <c r="E11" i="28"/>
  <c r="E11" i="26"/>
  <c r="F11" i="23"/>
  <c r="E12" i="23"/>
  <c r="D16" i="27"/>
  <c r="D16" i="23"/>
  <c r="D16" i="22"/>
  <c r="D16" i="29"/>
  <c r="D16" i="25"/>
  <c r="D16" i="21"/>
  <c r="D16" i="28"/>
  <c r="D16" i="24"/>
  <c r="D16" i="20"/>
  <c r="D16" i="19"/>
  <c r="D16" i="26"/>
  <c r="D16" i="9"/>
  <c r="F11" i="22"/>
  <c r="E12" i="22"/>
  <c r="F11" i="19"/>
  <c r="E12" i="19"/>
  <c r="E11" i="24"/>
  <c r="B15" i="24"/>
  <c r="B15" i="29"/>
  <c r="B15" i="25"/>
  <c r="B15" i="26"/>
  <c r="B15" i="27"/>
  <c r="B15" i="28"/>
  <c r="B15" i="22"/>
  <c r="B15" i="20"/>
  <c r="B15" i="21"/>
  <c r="B15" i="23"/>
  <c r="B15" i="19"/>
  <c r="B15" i="9"/>
  <c r="E11" i="25"/>
  <c r="R14" i="1"/>
  <c r="H14" i="1"/>
  <c r="E7" i="1"/>
  <c r="E14" i="1"/>
  <c r="F14" i="1"/>
  <c r="G14" i="1"/>
  <c r="I14" i="1"/>
  <c r="M14" i="1"/>
  <c r="N14" i="1"/>
  <c r="J14" i="1"/>
  <c r="P14" i="1"/>
  <c r="O14" i="1"/>
  <c r="Q14" i="1"/>
  <c r="D15" i="25"/>
  <c r="D15" i="21"/>
  <c r="D15" i="26"/>
  <c r="D15" i="29"/>
  <c r="D15" i="27"/>
  <c r="D15" i="23"/>
  <c r="D15" i="28"/>
  <c r="D15" i="24"/>
  <c r="D15" i="22"/>
  <c r="D15" i="20"/>
  <c r="D15" i="19"/>
  <c r="D15" i="9"/>
  <c r="E11" i="27"/>
  <c r="A19" i="1"/>
  <c r="C15" i="25"/>
  <c r="C15" i="27"/>
  <c r="C15" i="26"/>
  <c r="C15" i="19"/>
  <c r="C15" i="23"/>
  <c r="C15" i="28"/>
  <c r="C15" i="20"/>
  <c r="C15" i="21"/>
  <c r="C15" i="29"/>
  <c r="C15" i="22"/>
  <c r="C15" i="24"/>
  <c r="C15" i="9"/>
  <c r="B16" i="29"/>
  <c r="B16" i="21"/>
  <c r="B16" i="28"/>
  <c r="B16" i="26"/>
  <c r="B16" i="22"/>
  <c r="B16" i="25"/>
  <c r="B16" i="24"/>
  <c r="B16" i="20"/>
  <c r="B16" i="27"/>
  <c r="B16" i="23"/>
  <c r="B16" i="19"/>
  <c r="B16" i="9"/>
  <c r="F11" i="21"/>
  <c r="E12" i="21"/>
  <c r="E11" i="29"/>
  <c r="E33" i="9" a="1"/>
  <c r="E45" i="9" a="1"/>
  <c r="E28" i="9" a="1"/>
  <c r="E20" i="9" a="1"/>
  <c r="E18" i="9" a="1"/>
  <c r="E29" i="9" a="1"/>
  <c r="E43" i="9" a="1"/>
  <c r="E43" i="20" a="1"/>
  <c r="E40" i="23" a="1"/>
  <c r="E22" i="23" a="1"/>
  <c r="E37" i="23" a="1"/>
  <c r="E20" i="22" a="1"/>
  <c r="E44" i="19" a="1"/>
  <c r="E43" i="21" a="1"/>
  <c r="E47" i="9" a="1"/>
  <c r="E53" i="9" a="1"/>
  <c r="E35" i="9" a="1"/>
  <c r="E48" i="9" a="1"/>
  <c r="E51" i="20" a="1"/>
  <c r="E23" i="20" a="1"/>
  <c r="E16" i="20" a="1"/>
  <c r="E31" i="23" a="1"/>
  <c r="E48" i="23" a="1"/>
  <c r="E35" i="23" a="1"/>
  <c r="E51" i="22" a="1"/>
  <c r="E18" i="22" a="1"/>
  <c r="E32" i="22" a="1"/>
  <c r="E26" i="19" a="1"/>
  <c r="E35" i="19" a="1"/>
  <c r="E23" i="19" a="1"/>
  <c r="E25" i="21" a="1"/>
  <c r="E16" i="21" a="1"/>
  <c r="E27" i="21" a="1"/>
  <c r="E52" i="20" a="1"/>
  <c r="E54" i="20" a="1"/>
  <c r="E39" i="22" a="1"/>
  <c r="E27" i="22" a="1"/>
  <c r="E48" i="19" a="1"/>
  <c r="E24" i="19" a="1"/>
  <c r="E37" i="21" a="1"/>
  <c r="E41" i="20" a="1"/>
  <c r="E44" i="22" a="1"/>
  <c r="E30" i="21" a="1"/>
  <c r="E28" i="20" a="1"/>
  <c r="E51" i="23" a="1"/>
  <c r="E31" i="9" a="1"/>
  <c r="E16" i="9" a="1"/>
  <c r="E42" i="9" a="1"/>
  <c r="E22" i="9" a="1"/>
  <c r="E24" i="20" a="1"/>
  <c r="E26" i="23" a="1"/>
  <c r="E18" i="23" a="1"/>
  <c r="E21" i="23" a="1"/>
  <c r="E16" i="22" a="1"/>
  <c r="E29" i="19" a="1"/>
  <c r="E28" i="21" a="1"/>
  <c r="E17" i="21" a="1"/>
  <c r="E47" i="21" a="1"/>
  <c r="E16" i="23" a="1"/>
  <c r="E46" i="23" a="1"/>
  <c r="E23" i="22" a="1"/>
  <c r="E54" i="19" a="1"/>
  <c r="E32" i="9" a="1"/>
  <c r="E25" i="9" a="1"/>
  <c r="E24" i="9" a="1"/>
  <c r="E51" i="9" a="1"/>
  <c r="E33" i="20" a="1"/>
  <c r="E26" i="20" a="1"/>
  <c r="E35" i="20" a="1"/>
  <c r="E19" i="23" a="1"/>
  <c r="E38" i="23" a="1"/>
  <c r="E34" i="23" a="1"/>
  <c r="E32" i="23" a="1"/>
  <c r="E29" i="22" a="1"/>
  <c r="E33" i="22" a="1"/>
  <c r="E15" i="22" a="1"/>
  <c r="E42" i="19" a="1"/>
  <c r="E53" i="19" a="1"/>
  <c r="E43" i="19" a="1"/>
  <c r="E47" i="19" a="1"/>
  <c r="E29" i="21" a="1"/>
  <c r="E45" i="21" a="1"/>
  <c r="E19" i="21" a="1"/>
  <c r="E42" i="21" a="1"/>
  <c r="E36" i="21" a="1"/>
  <c r="E54" i="21" a="1"/>
  <c r="E18" i="21" a="1"/>
  <c r="E15" i="21" a="1"/>
  <c r="E41" i="21" a="1"/>
  <c r="E32" i="21" a="1"/>
  <c r="E20" i="21" a="1"/>
  <c r="E37" i="20" a="1"/>
  <c r="E36" i="20" a="1"/>
  <c r="E28" i="23" a="1"/>
  <c r="E18" i="19" a="1"/>
  <c r="E50" i="21" a="1"/>
  <c r="E45" i="20" a="1"/>
  <c r="E42" i="23" a="1"/>
  <c r="E45" i="22" a="1"/>
  <c r="E17" i="22" a="1"/>
  <c r="E25" i="19" a="1"/>
  <c r="E34" i="21" a="1"/>
  <c r="E26" i="21" a="1"/>
  <c r="E30" i="9" a="1"/>
  <c r="E46" i="9" a="1"/>
  <c r="E50" i="9" a="1"/>
  <c r="E44" i="9" a="1"/>
  <c r="E19" i="20" a="1"/>
  <c r="E46" i="20" a="1"/>
  <c r="E53" i="20" a="1"/>
  <c r="E45" i="23" a="1"/>
  <c r="E49" i="23" a="1"/>
  <c r="E43" i="23" a="1"/>
  <c r="E20" i="23" a="1"/>
  <c r="E54" i="22" a="1"/>
  <c r="E25" i="22" a="1"/>
  <c r="E35" i="22" a="1"/>
  <c r="E50" i="19" a="1"/>
  <c r="E27" i="19" a="1"/>
  <c r="E36" i="19" a="1"/>
  <c r="E39" i="19" a="1"/>
  <c r="E53" i="23" a="1"/>
  <c r="E28" i="19" a="1"/>
  <c r="E49" i="21" a="1"/>
  <c r="E34" i="20" a="1"/>
  <c r="E23" i="23" a="1"/>
  <c r="E36" i="9" a="1"/>
  <c r="E23" i="9" a="1"/>
  <c r="E26" i="9" a="1"/>
  <c r="E44" i="20" a="1"/>
  <c r="E21" i="20" a="1"/>
  <c r="E47" i="23" a="1"/>
  <c r="E25" i="23" a="1"/>
  <c r="E31" i="22" a="1"/>
  <c r="E41" i="19" a="1"/>
  <c r="E20" i="19" a="1"/>
  <c r="E34" i="19" a="1"/>
  <c r="E54" i="23" a="1"/>
  <c r="E52" i="22" a="1"/>
  <c r="E40" i="22" a="1"/>
  <c r="E37" i="22" a="1"/>
  <c r="E46" i="19" a="1"/>
  <c r="E22" i="19" a="1"/>
  <c r="E35" i="21" a="1"/>
  <c r="E15" i="20" a="1"/>
  <c r="E24" i="23" a="1"/>
  <c r="E22" i="22" a="1"/>
  <c r="E19" i="19" a="1"/>
  <c r="E24" i="21" a="1"/>
  <c r="E38" i="21" a="1"/>
  <c r="E33" i="21" a="1"/>
  <c r="E27" i="9" a="1"/>
  <c r="E15" i="9" a="1"/>
  <c r="E41" i="9" a="1"/>
  <c r="E38" i="9" a="1"/>
  <c r="E49" i="9" a="1"/>
  <c r="E34" i="9" a="1"/>
  <c r="E20" i="20" a="1"/>
  <c r="E29" i="20" a="1"/>
  <c r="E32" i="20" a="1"/>
  <c r="E25" i="20" a="1"/>
  <c r="E30" i="23" a="1"/>
  <c r="E15" i="23" a="1"/>
  <c r="E33" i="23" a="1"/>
  <c r="E26" i="22" a="1"/>
  <c r="E47" i="22" a="1"/>
  <c r="E24" i="22" a="1"/>
  <c r="E38" i="19" a="1"/>
  <c r="E45" i="19" a="1"/>
  <c r="E37" i="19" a="1"/>
  <c r="E53" i="21" a="1"/>
  <c r="E39" i="21" a="1"/>
  <c r="E48" i="21" a="1"/>
  <c r="E31" i="20" a="1"/>
  <c r="E52" i="19" a="1"/>
  <c r="E17" i="9" a="1"/>
  <c r="E37" i="9" a="1"/>
  <c r="E54" i="9" a="1"/>
  <c r="E40" i="9" a="1"/>
  <c r="E21" i="9" a="1"/>
  <c r="E50" i="20" a="1"/>
  <c r="E49" i="20" a="1"/>
  <c r="E22" i="20" a="1"/>
  <c r="E40" i="20" a="1"/>
  <c r="E39" i="23" a="1"/>
  <c r="E44" i="23" a="1"/>
  <c r="E36" i="23" a="1"/>
  <c r="E46" i="22" a="1"/>
  <c r="E42" i="22" a="1"/>
  <c r="E43" i="22" a="1"/>
  <c r="E34" i="22" a="1"/>
  <c r="E15" i="19" a="1"/>
  <c r="E49" i="19" a="1"/>
  <c r="E17" i="19" a="1"/>
  <c r="E23" i="21" a="1"/>
  <c r="E40" i="21" a="1"/>
  <c r="E44" i="21" a="1"/>
  <c r="E48" i="20" a="1"/>
  <c r="E42" i="20" a="1"/>
  <c r="E52" i="23" a="1"/>
  <c r="E48" i="22" a="1"/>
  <c r="E38" i="22" a="1"/>
  <c r="E32" i="19" a="1"/>
  <c r="E31" i="21" a="1"/>
  <c r="E22" i="21" a="1"/>
  <c r="E51" i="21" a="1"/>
  <c r="E39" i="20" a="1"/>
  <c r="E47" i="20" a="1"/>
  <c r="E53" i="22" a="1"/>
  <c r="E49" i="22" a="1"/>
  <c r="E50" i="22" a="1"/>
  <c r="E40" i="19" a="1"/>
  <c r="E31" i="19" a="1"/>
  <c r="E39" i="9" a="1"/>
  <c r="E52" i="9" a="1"/>
  <c r="E19" i="9" a="1"/>
  <c r="E27" i="20" a="1"/>
  <c r="E18" i="20" a="1"/>
  <c r="E30" i="20" a="1"/>
  <c r="E38" i="20" a="1"/>
  <c r="E27" i="23" a="1"/>
  <c r="E29" i="23" a="1"/>
  <c r="E17" i="23" a="1"/>
  <c r="E21" i="22" a="1"/>
  <c r="E41" i="22" a="1"/>
  <c r="E30" i="22" a="1"/>
  <c r="E36" i="22" a="1"/>
  <c r="E33" i="19" a="1"/>
  <c r="E51" i="19" a="1"/>
  <c r="E21" i="19" a="1"/>
  <c r="E52" i="21" a="1"/>
  <c r="E21" i="21" a="1"/>
  <c r="E46" i="21" a="1"/>
  <c r="E17" i="20" a="1"/>
  <c r="E41" i="23" a="1"/>
  <c r="E50" i="23" a="1"/>
  <c r="E28" i="22" a="1"/>
  <c r="E19" i="22" a="1"/>
  <c r="E16" i="19" a="1"/>
  <c r="E30" i="19" a="1"/>
  <c r="E30" i="19" l="1"/>
  <c r="E16" i="19"/>
  <c r="E19" i="22"/>
  <c r="E28" i="22"/>
  <c r="E50" i="23"/>
  <c r="E41" i="23"/>
  <c r="E17" i="20"/>
  <c r="E46" i="21"/>
  <c r="E21" i="21"/>
  <c r="E52" i="21"/>
  <c r="E21" i="19"/>
  <c r="E51" i="19"/>
  <c r="E33" i="19"/>
  <c r="E36" i="22"/>
  <c r="E30" i="22"/>
  <c r="E41" i="22"/>
  <c r="E21" i="22"/>
  <c r="E17" i="23"/>
  <c r="E29" i="23"/>
  <c r="E27" i="23"/>
  <c r="E38" i="20"/>
  <c r="E30" i="20"/>
  <c r="E18" i="20"/>
  <c r="E27" i="20"/>
  <c r="E19" i="9"/>
  <c r="E52" i="9"/>
  <c r="E39" i="9"/>
  <c r="E31" i="19"/>
  <c r="E40" i="19"/>
  <c r="E50" i="22"/>
  <c r="E49" i="22"/>
  <c r="E53" i="22"/>
  <c r="E47" i="20"/>
  <c r="E39" i="20"/>
  <c r="E51" i="21"/>
  <c r="E22" i="21"/>
  <c r="E31" i="21"/>
  <c r="E32" i="19"/>
  <c r="E38" i="22"/>
  <c r="E48" i="22"/>
  <c r="E52" i="23"/>
  <c r="E42" i="20"/>
  <c r="E48" i="20"/>
  <c r="E44" i="21"/>
  <c r="E40" i="21"/>
  <c r="E23" i="21"/>
  <c r="E17" i="19"/>
  <c r="E49" i="19"/>
  <c r="E15" i="19"/>
  <c r="E34" i="22"/>
  <c r="E43" i="22"/>
  <c r="E42" i="22"/>
  <c r="E46" i="22"/>
  <c r="E36" i="23"/>
  <c r="E44" i="23"/>
  <c r="E39" i="23"/>
  <c r="E40" i="20"/>
  <c r="E22" i="20"/>
  <c r="E49" i="20"/>
  <c r="E50" i="20"/>
  <c r="E21" i="9"/>
  <c r="E40" i="9"/>
  <c r="E54" i="9"/>
  <c r="E37" i="9"/>
  <c r="E17" i="9"/>
  <c r="E52" i="19"/>
  <c r="E31" i="20"/>
  <c r="E48" i="21"/>
  <c r="E39" i="21"/>
  <c r="E53" i="21"/>
  <c r="E37" i="19"/>
  <c r="E45" i="19"/>
  <c r="E38" i="19"/>
  <c r="E24" i="22"/>
  <c r="E47" i="22"/>
  <c r="E26" i="22"/>
  <c r="E33" i="23"/>
  <c r="E15" i="23"/>
  <c r="E30" i="23"/>
  <c r="E25" i="20"/>
  <c r="E32" i="20"/>
  <c r="E29" i="20"/>
  <c r="E20" i="20"/>
  <c r="E34" i="9"/>
  <c r="E49" i="9"/>
  <c r="E38" i="9"/>
  <c r="E41" i="9"/>
  <c r="E15" i="9"/>
  <c r="E27" i="9"/>
  <c r="E33" i="21"/>
  <c r="E38" i="21"/>
  <c r="E24" i="21"/>
  <c r="E19" i="19"/>
  <c r="E22" i="22"/>
  <c r="E24" i="23"/>
  <c r="E15" i="20"/>
  <c r="E35" i="21"/>
  <c r="E22" i="19"/>
  <c r="E46" i="19"/>
  <c r="E37" i="22"/>
  <c r="E40" i="22"/>
  <c r="E52" i="22"/>
  <c r="E54" i="23"/>
  <c r="E34" i="19"/>
  <c r="E20" i="19"/>
  <c r="E41" i="19"/>
  <c r="E31" i="22"/>
  <c r="E25" i="23"/>
  <c r="E47" i="23"/>
  <c r="E21" i="20"/>
  <c r="E44" i="20"/>
  <c r="E26" i="9"/>
  <c r="E23" i="9"/>
  <c r="E36" i="9"/>
  <c r="E23" i="23"/>
  <c r="E34" i="20"/>
  <c r="E49" i="21"/>
  <c r="E28" i="19"/>
  <c r="E53" i="23"/>
  <c r="E39" i="19"/>
  <c r="E36" i="19"/>
  <c r="E27" i="19"/>
  <c r="E50" i="19"/>
  <c r="E35" i="22"/>
  <c r="E25" i="22"/>
  <c r="E54" i="22"/>
  <c r="E20" i="23"/>
  <c r="E43" i="23"/>
  <c r="E49" i="23"/>
  <c r="E45" i="23"/>
  <c r="E53" i="20"/>
  <c r="E46" i="20"/>
  <c r="E19" i="20"/>
  <c r="E44" i="9"/>
  <c r="E50" i="9"/>
  <c r="E46" i="9"/>
  <c r="E30" i="9"/>
  <c r="E26" i="21"/>
  <c r="E34" i="21"/>
  <c r="E25" i="19"/>
  <c r="E17" i="22"/>
  <c r="E45" i="22"/>
  <c r="E42" i="23"/>
  <c r="E45" i="20"/>
  <c r="E50" i="21"/>
  <c r="E18" i="19"/>
  <c r="E28" i="23"/>
  <c r="E36" i="20"/>
  <c r="E37" i="20"/>
  <c r="E20" i="21"/>
  <c r="E32" i="21"/>
  <c r="E41" i="21"/>
  <c r="E15" i="21"/>
  <c r="E18" i="21"/>
  <c r="E54" i="21"/>
  <c r="E36" i="21"/>
  <c r="E42" i="21"/>
  <c r="E19" i="21"/>
  <c r="E45" i="21"/>
  <c r="E29" i="21"/>
  <c r="E47" i="19"/>
  <c r="E43" i="19"/>
  <c r="E53" i="19"/>
  <c r="E42" i="19"/>
  <c r="E15" i="22"/>
  <c r="E33" i="22"/>
  <c r="E29" i="22"/>
  <c r="E32" i="23"/>
  <c r="E34" i="23"/>
  <c r="E38" i="23"/>
  <c r="E19" i="23"/>
  <c r="E35" i="20"/>
  <c r="E26" i="20"/>
  <c r="E33" i="20"/>
  <c r="E51" i="9"/>
  <c r="E24" i="9"/>
  <c r="E25" i="9"/>
  <c r="E32" i="9"/>
  <c r="E54" i="19"/>
  <c r="E23" i="22"/>
  <c r="E46" i="23"/>
  <c r="E16" i="23"/>
  <c r="E47" i="21"/>
  <c r="E17" i="21"/>
  <c r="E28" i="21"/>
  <c r="E29" i="19"/>
  <c r="E16" i="22"/>
  <c r="E21" i="23"/>
  <c r="E18" i="23"/>
  <c r="E26" i="23"/>
  <c r="E24" i="20"/>
  <c r="E22" i="9"/>
  <c r="E42" i="9"/>
  <c r="E16" i="9"/>
  <c r="E31" i="9"/>
  <c r="E51" i="23"/>
  <c r="E28" i="20"/>
  <c r="E30" i="21"/>
  <c r="E44" i="22"/>
  <c r="E41" i="20"/>
  <c r="E37" i="21"/>
  <c r="E24" i="19"/>
  <c r="E48" i="19"/>
  <c r="E27" i="22"/>
  <c r="E39" i="22"/>
  <c r="E54" i="20"/>
  <c r="E52" i="20"/>
  <c r="E27" i="21"/>
  <c r="E16" i="21"/>
  <c r="E25" i="21"/>
  <c r="E23" i="19"/>
  <c r="E35" i="19"/>
  <c r="E26" i="19"/>
  <c r="E32" i="22"/>
  <c r="E18" i="22"/>
  <c r="E51" i="22"/>
  <c r="E35" i="23"/>
  <c r="E48" i="23"/>
  <c r="E31" i="23"/>
  <c r="E16" i="20"/>
  <c r="E23" i="20"/>
  <c r="E51" i="20"/>
  <c r="E48" i="9"/>
  <c r="E35" i="9"/>
  <c r="E53" i="9"/>
  <c r="E47" i="9"/>
  <c r="E43" i="21"/>
  <c r="E44" i="19"/>
  <c r="E20" i="22"/>
  <c r="E37" i="23"/>
  <c r="E22" i="23"/>
  <c r="E40" i="23"/>
  <c r="E43" i="20"/>
  <c r="E43" i="9"/>
  <c r="E29" i="9"/>
  <c r="E18" i="9"/>
  <c r="E20" i="9"/>
  <c r="E28" i="9"/>
  <c r="E45" i="9"/>
  <c r="E33" i="9"/>
  <c r="F11" i="27"/>
  <c r="E12" i="27"/>
  <c r="F12" i="21"/>
  <c r="G11" i="21"/>
  <c r="F11" i="26"/>
  <c r="E12" i="26"/>
  <c r="A14" i="27"/>
  <c r="A14" i="28"/>
  <c r="A14" i="23"/>
  <c r="A14" i="26"/>
  <c r="A14" i="29"/>
  <c r="A14" i="24"/>
  <c r="A14" i="21"/>
  <c r="A14" i="22"/>
  <c r="A14" i="20"/>
  <c r="A14" i="25"/>
  <c r="A14" i="19"/>
  <c r="A14" i="9"/>
  <c r="A7" i="20"/>
  <c r="A7" i="29"/>
  <c r="A7" i="27"/>
  <c r="A7" i="28"/>
  <c r="A7" i="23"/>
  <c r="A7" i="25"/>
  <c r="A7" i="24"/>
  <c r="A7" i="26"/>
  <c r="A7" i="21"/>
  <c r="A7" i="22"/>
  <c r="A7" i="19"/>
  <c r="A7" i="9"/>
  <c r="E12" i="28"/>
  <c r="F11" i="28"/>
  <c r="E12" i="24"/>
  <c r="F11" i="24"/>
  <c r="G11" i="22"/>
  <c r="F12" i="22"/>
  <c r="F12" i="20"/>
  <c r="G11" i="20"/>
  <c r="F11" i="29"/>
  <c r="E12" i="29"/>
  <c r="F11" i="25"/>
  <c r="E12" i="25"/>
  <c r="G11" i="19"/>
  <c r="F12" i="19"/>
  <c r="G11" i="23"/>
  <c r="F12" i="23"/>
  <c r="G11" i="9"/>
  <c r="F12" i="9"/>
  <c r="E51" i="27" a="1"/>
  <c r="E22" i="27" a="1"/>
  <c r="E17" i="27" a="1"/>
  <c r="F35" i="21" a="1"/>
  <c r="F34" i="21" a="1"/>
  <c r="F45" i="21" a="1"/>
  <c r="E48" i="26" a="1"/>
  <c r="E42" i="26" a="1"/>
  <c r="E33" i="26" a="1"/>
  <c r="E43" i="28" a="1"/>
  <c r="E27" i="28" a="1"/>
  <c r="E30" i="28" a="1"/>
  <c r="E44" i="24" a="1"/>
  <c r="E16" i="24" a="1"/>
  <c r="E17" i="24" a="1"/>
  <c r="F17" i="22" a="1"/>
  <c r="F32" i="22" a="1"/>
  <c r="F49" i="22" a="1"/>
  <c r="F28" i="20" a="1"/>
  <c r="F39" i="20" a="1"/>
  <c r="F24" i="20" a="1"/>
  <c r="E24" i="29" a="1"/>
  <c r="E36" i="29" a="1"/>
  <c r="E26" i="29" a="1"/>
  <c r="E28" i="25" a="1"/>
  <c r="E16" i="25" a="1"/>
  <c r="E20" i="25" a="1"/>
  <c r="F15" i="19" a="1"/>
  <c r="F52" i="19" a="1"/>
  <c r="F43" i="19" a="1"/>
  <c r="F46" i="23" a="1"/>
  <c r="F26" i="23" a="1"/>
  <c r="F33" i="23" a="1"/>
  <c r="F44" i="9" a="1"/>
  <c r="F41" i="9" a="1"/>
  <c r="F30" i="9" a="1"/>
  <c r="F37" i="20" a="1"/>
  <c r="E26" i="25" a="1"/>
  <c r="E40" i="26" a="1"/>
  <c r="E28" i="27" a="1"/>
  <c r="E40" i="27" a="1"/>
  <c r="E44" i="27" a="1"/>
  <c r="E25" i="27" a="1"/>
  <c r="F24" i="21" a="1"/>
  <c r="F17" i="21" a="1"/>
  <c r="F39" i="21" a="1"/>
  <c r="E37" i="26" a="1"/>
  <c r="E19" i="26" a="1"/>
  <c r="E29" i="26" a="1"/>
  <c r="E34" i="26" a="1"/>
  <c r="E44" i="28" a="1"/>
  <c r="E31" i="28" a="1"/>
  <c r="E17" i="28" a="1"/>
  <c r="E33" i="24" a="1"/>
  <c r="E25" i="24" a="1"/>
  <c r="E42" i="24" a="1"/>
  <c r="E48" i="24" a="1"/>
  <c r="F25" i="22" a="1"/>
  <c r="F19" i="22" a="1"/>
  <c r="F29" i="22" a="1"/>
  <c r="F15" i="20" a="1"/>
  <c r="F44" i="20" a="1"/>
  <c r="F23" i="20" a="1"/>
  <c r="F26" i="20" a="1"/>
  <c r="E30" i="29" a="1"/>
  <c r="E29" i="29" a="1"/>
  <c r="E54" i="29" a="1"/>
  <c r="E22" i="25" a="1"/>
  <c r="E49" i="25" a="1"/>
  <c r="E43" i="25" a="1"/>
  <c r="E25" i="25" a="1"/>
  <c r="F16" i="19" a="1"/>
  <c r="F33" i="19" a="1"/>
  <c r="F39" i="19" a="1"/>
  <c r="F43" i="23" a="1"/>
  <c r="F48" i="23" a="1"/>
  <c r="F45" i="23" a="1"/>
  <c r="F47" i="23" a="1"/>
  <c r="F51" i="9" a="1"/>
  <c r="F28" i="9" a="1"/>
  <c r="F45" i="9" a="1"/>
  <c r="E53" i="27" a="1"/>
  <c r="E49" i="27" a="1"/>
  <c r="E39" i="27" a="1"/>
  <c r="E38" i="27" a="1"/>
  <c r="F26" i="21" a="1"/>
  <c r="F31" i="21" a="1"/>
  <c r="F32" i="21" a="1"/>
  <c r="E44" i="26" a="1"/>
  <c r="E15" i="26" a="1"/>
  <c r="E17" i="26" a="1"/>
  <c r="E23" i="28" a="1"/>
  <c r="E29" i="28" a="1"/>
  <c r="E45" i="24" a="1"/>
  <c r="E36" i="24" a="1"/>
  <c r="E27" i="24" a="1"/>
  <c r="F39" i="22" a="1"/>
  <c r="F34" i="22" a="1"/>
  <c r="F49" i="20" a="1"/>
  <c r="F47" i="20" a="1"/>
  <c r="F34" i="20" a="1"/>
  <c r="F31" i="20" a="1"/>
  <c r="E47" i="29" a="1"/>
  <c r="E34" i="25" a="1"/>
  <c r="E24" i="25" a="1"/>
  <c r="F36" i="19" a="1"/>
  <c r="F22" i="19" a="1"/>
  <c r="F37" i="23" a="1"/>
  <c r="F24" i="23" a="1"/>
  <c r="F32" i="23" a="1"/>
  <c r="F52" i="9" a="1"/>
  <c r="F18" i="9" a="1"/>
  <c r="F24" i="9" a="1"/>
  <c r="F22" i="9" a="1"/>
  <c r="E49" i="24" a="1"/>
  <c r="F40" i="20" a="1"/>
  <c r="F53" i="20" a="1"/>
  <c r="E39" i="29" a="1"/>
  <c r="E35" i="29" a="1"/>
  <c r="E44" i="25" a="1"/>
  <c r="E27" i="25" a="1"/>
  <c r="E29" i="25" a="1"/>
  <c r="F40" i="19" a="1"/>
  <c r="E26" i="26" a="1"/>
  <c r="E38" i="28" a="1"/>
  <c r="E52" i="24" a="1"/>
  <c r="F31" i="22" a="1"/>
  <c r="E37" i="29" a="1"/>
  <c r="E17" i="29" a="1"/>
  <c r="E39" i="25" a="1"/>
  <c r="E19" i="25" a="1"/>
  <c r="F50" i="19" a="1"/>
  <c r="F18" i="23" a="1"/>
  <c r="F47" i="9" a="1"/>
  <c r="E19" i="24" a="1"/>
  <c r="F47" i="22" a="1"/>
  <c r="F19" i="20" a="1"/>
  <c r="E16" i="29" a="1"/>
  <c r="E32" i="25" a="1"/>
  <c r="F35" i="19" a="1"/>
  <c r="F31" i="9" a="1"/>
  <c r="F33" i="21" a="1"/>
  <c r="E39" i="24" a="1"/>
  <c r="E16" i="27" a="1"/>
  <c r="E30" i="27" a="1"/>
  <c r="E19" i="27" a="1"/>
  <c r="E34" i="27" a="1"/>
  <c r="F18" i="21" a="1"/>
  <c r="F36" i="21" a="1"/>
  <c r="F37" i="21" a="1"/>
  <c r="E31" i="26" a="1"/>
  <c r="E46" i="26" a="1"/>
  <c r="E47" i="26" a="1"/>
  <c r="E28" i="26" a="1"/>
  <c r="E32" i="28" a="1"/>
  <c r="E39" i="28" a="1"/>
  <c r="E41" i="28" a="1"/>
  <c r="E54" i="24" a="1"/>
  <c r="E21" i="24" a="1"/>
  <c r="E40" i="24" a="1"/>
  <c r="E32" i="24" a="1"/>
  <c r="F21" i="22" a="1"/>
  <c r="F28" i="22" a="1"/>
  <c r="F16" i="22" a="1"/>
  <c r="F17" i="20" a="1"/>
  <c r="F16" i="20" a="1"/>
  <c r="F27" i="20" a="1"/>
  <c r="F43" i="20" a="1"/>
  <c r="E41" i="29" a="1"/>
  <c r="E44" i="29" a="1"/>
  <c r="E19" i="29" a="1"/>
  <c r="E51" i="25" a="1"/>
  <c r="E40" i="25" a="1"/>
  <c r="E37" i="25" a="1"/>
  <c r="E21" i="25" a="1"/>
  <c r="F30" i="19" a="1"/>
  <c r="F31" i="19" a="1"/>
  <c r="F44" i="19" a="1"/>
  <c r="F50" i="23" a="1"/>
  <c r="F31" i="23" a="1"/>
  <c r="F39" i="23" a="1"/>
  <c r="F34" i="23" a="1"/>
  <c r="F39" i="9" a="1"/>
  <c r="F50" i="9" a="1"/>
  <c r="F51" i="19" a="1"/>
  <c r="F22" i="23" a="1"/>
  <c r="F49" i="23" a="1"/>
  <c r="F54" i="9" a="1"/>
  <c r="F29" i="9" a="1"/>
  <c r="F21" i="9" a="1"/>
  <c r="F41" i="22" a="1"/>
  <c r="E52" i="29" a="1"/>
  <c r="F36" i="23" a="1"/>
  <c r="F32" i="9" a="1"/>
  <c r="E41" i="27" a="1"/>
  <c r="E47" i="27" a="1"/>
  <c r="E46" i="27" a="1"/>
  <c r="E29" i="27" a="1"/>
  <c r="E32" i="27" a="1"/>
  <c r="F15" i="21" a="1"/>
  <c r="F16" i="21" a="1"/>
  <c r="F53" i="21" a="1"/>
  <c r="E24" i="26" a="1"/>
  <c r="E35" i="26" a="1"/>
  <c r="E36" i="26" a="1"/>
  <c r="E23" i="26" a="1"/>
  <c r="E51" i="28" a="1"/>
  <c r="E16" i="28" a="1"/>
  <c r="E25" i="28" a="1"/>
  <c r="E46" i="24" a="1"/>
  <c r="E37" i="24" a="1"/>
  <c r="E20" i="24" a="1"/>
  <c r="E31" i="24" a="1"/>
  <c r="F40" i="22" a="1"/>
  <c r="F37" i="22" a="1"/>
  <c r="F18" i="22" a="1"/>
  <c r="F52" i="20" a="1"/>
  <c r="F18" i="20" a="1"/>
  <c r="F35" i="20" a="1"/>
  <c r="F30" i="20" a="1"/>
  <c r="E20" i="29" a="1"/>
  <c r="E27" i="29" a="1"/>
  <c r="E46" i="29" a="1"/>
  <c r="E17" i="25" a="1"/>
  <c r="E38" i="25" a="1"/>
  <c r="E23" i="25" a="1"/>
  <c r="E54" i="25" a="1"/>
  <c r="F37" i="19" a="1"/>
  <c r="F20" i="19" a="1"/>
  <c r="F32" i="19" a="1"/>
  <c r="F51" i="23" a="1"/>
  <c r="F53" i="23" a="1"/>
  <c r="F19" i="23" a="1"/>
  <c r="F15" i="23" a="1"/>
  <c r="F37" i="9" a="1"/>
  <c r="F20" i="9" a="1"/>
  <c r="F40" i="9" a="1"/>
  <c r="E53" i="24" a="1"/>
  <c r="F48" i="22" a="1"/>
  <c r="F54" i="22" a="1"/>
  <c r="F22" i="20" a="1"/>
  <c r="E25" i="29" a="1"/>
  <c r="E21" i="29" a="1"/>
  <c r="E18" i="25" a="1"/>
  <c r="E30" i="25" a="1"/>
  <c r="F23" i="19" a="1"/>
  <c r="F41" i="23" a="1"/>
  <c r="F21" i="23" a="1"/>
  <c r="F15" i="9" a="1"/>
  <c r="F24" i="22" a="1"/>
  <c r="F48" i="19" a="1"/>
  <c r="F45" i="22" a="1"/>
  <c r="E34" i="29" a="1"/>
  <c r="F49" i="19" a="1"/>
  <c r="F28" i="23" a="1"/>
  <c r="E45" i="27" a="1"/>
  <c r="E33" i="27" a="1"/>
  <c r="E27" i="27" a="1"/>
  <c r="F23" i="21" a="1"/>
  <c r="F25" i="21" a="1"/>
  <c r="F43" i="21" a="1"/>
  <c r="E16" i="26" a="1"/>
  <c r="E41" i="26" a="1"/>
  <c r="E45" i="26" a="1"/>
  <c r="E40" i="28" a="1"/>
  <c r="E54" i="28" a="1"/>
  <c r="E18" i="28" a="1"/>
  <c r="E15" i="24" a="1"/>
  <c r="E38" i="24" a="1"/>
  <c r="F22" i="22" a="1"/>
  <c r="F33" i="20" a="1"/>
  <c r="F38" i="20" a="1"/>
  <c r="E33" i="29" a="1"/>
  <c r="E41" i="25" a="1"/>
  <c r="F21" i="19" a="1"/>
  <c r="F42" i="19" a="1"/>
  <c r="F27" i="23" a="1"/>
  <c r="F43" i="9" a="1"/>
  <c r="F44" i="22" a="1"/>
  <c r="E33" i="25" a="1"/>
  <c r="F52" i="23" a="1"/>
  <c r="F46" i="9" a="1"/>
  <c r="F51" i="20" a="1"/>
  <c r="F38" i="23" a="1"/>
  <c r="E38" i="26" a="1"/>
  <c r="E24" i="27" a="1"/>
  <c r="E31" i="27" a="1"/>
  <c r="E48" i="27" a="1"/>
  <c r="F38" i="21" a="1"/>
  <c r="F29" i="21" a="1"/>
  <c r="F51" i="21" a="1"/>
  <c r="E54" i="26" a="1"/>
  <c r="E49" i="26" a="1"/>
  <c r="E22" i="26" a="1"/>
  <c r="E48" i="28" a="1"/>
  <c r="E36" i="28" a="1"/>
  <c r="E45" i="28" a="1"/>
  <c r="E41" i="24" a="1"/>
  <c r="E48" i="29" a="1"/>
  <c r="F29" i="19" a="1"/>
  <c r="F17" i="19" a="1"/>
  <c r="F38" i="19" a="1"/>
  <c r="F23" i="23" a="1"/>
  <c r="E15" i="27" a="1"/>
  <c r="E34" i="28" a="1"/>
  <c r="E51" i="29" a="1"/>
  <c r="F41" i="19" a="1"/>
  <c r="F34" i="9" a="1"/>
  <c r="E37" i="27" a="1"/>
  <c r="E18" i="27" a="1"/>
  <c r="E42" i="27" a="1"/>
  <c r="F30" i="21" a="1"/>
  <c r="F46" i="21" a="1"/>
  <c r="F20" i="21" a="1"/>
  <c r="F22" i="21" a="1"/>
  <c r="E20" i="26" a="1"/>
  <c r="E21" i="26" a="1"/>
  <c r="E27" i="26" a="1"/>
  <c r="E53" i="28" a="1"/>
  <c r="E37" i="28" a="1"/>
  <c r="E35" i="28" a="1"/>
  <c r="E42" i="28" a="1"/>
  <c r="E34" i="24" a="1"/>
  <c r="E29" i="24" a="1"/>
  <c r="E28" i="24" a="1"/>
  <c r="F51" i="22" a="1"/>
  <c r="F35" i="22" a="1"/>
  <c r="F46" i="22" a="1"/>
  <c r="F26" i="22" a="1"/>
  <c r="F54" i="20" a="1"/>
  <c r="F41" i="20" a="1"/>
  <c r="F29" i="20" a="1"/>
  <c r="E15" i="29" a="1"/>
  <c r="E43" i="29" a="1"/>
  <c r="E38" i="29" a="1"/>
  <c r="E42" i="29" a="1"/>
  <c r="E45" i="25" a="1"/>
  <c r="E53" i="25" a="1"/>
  <c r="E47" i="25" a="1"/>
  <c r="F26" i="19" a="1"/>
  <c r="F54" i="19" a="1"/>
  <c r="F46" i="19" a="1"/>
  <c r="F45" i="19" a="1"/>
  <c r="F42" i="23" a="1"/>
  <c r="F35" i="23" a="1"/>
  <c r="F54" i="23" a="1"/>
  <c r="F42" i="9" a="1"/>
  <c r="F36" i="9" a="1"/>
  <c r="F26" i="9" a="1"/>
  <c r="F38" i="9" a="1"/>
  <c r="E15" i="28" a="1"/>
  <c r="E18" i="24" a="1"/>
  <c r="F42" i="20" a="1"/>
  <c r="E23" i="29" a="1"/>
  <c r="F35" i="9" a="1"/>
  <c r="E43" i="26" a="1"/>
  <c r="F52" i="22" a="1"/>
  <c r="F20" i="22" a="1"/>
  <c r="F21" i="20" a="1"/>
  <c r="F25" i="20" a="1"/>
  <c r="E40" i="29" a="1"/>
  <c r="F20" i="23" a="1"/>
  <c r="E21" i="27" a="1"/>
  <c r="E52" i="27" a="1"/>
  <c r="E43" i="27" a="1"/>
  <c r="F27" i="21" a="1"/>
  <c r="F40" i="21" a="1"/>
  <c r="F49" i="21" a="1"/>
  <c r="F42" i="21" a="1"/>
  <c r="E32" i="26" a="1"/>
  <c r="E50" i="26" a="1"/>
  <c r="E25" i="26" a="1"/>
  <c r="E47" i="28" a="1"/>
  <c r="E24" i="28" a="1"/>
  <c r="E50" i="28" a="1"/>
  <c r="E19" i="28" a="1"/>
  <c r="E35" i="24" a="1"/>
  <c r="E50" i="24" a="1"/>
  <c r="E51" i="24" a="1"/>
  <c r="F43" i="22" a="1"/>
  <c r="F50" i="22" a="1"/>
  <c r="F42" i="22" a="1"/>
  <c r="F33" i="22" a="1"/>
  <c r="F45" i="20" a="1"/>
  <c r="F46" i="20" a="1"/>
  <c r="F32" i="20" a="1"/>
  <c r="E53" i="29" a="1"/>
  <c r="E31" i="29" a="1"/>
  <c r="E50" i="29" a="1"/>
  <c r="E28" i="29" a="1"/>
  <c r="E46" i="25" a="1"/>
  <c r="E52" i="25" a="1"/>
  <c r="E31" i="25" a="1"/>
  <c r="F24" i="19" a="1"/>
  <c r="F18" i="19" a="1"/>
  <c r="F25" i="19" a="1"/>
  <c r="F34" i="19" a="1"/>
  <c r="F16" i="23" a="1"/>
  <c r="F29" i="23" a="1"/>
  <c r="F25" i="23" a="1"/>
  <c r="F19" i="9" a="1"/>
  <c r="F17" i="9" a="1"/>
  <c r="F53" i="9" a="1"/>
  <c r="F27" i="9" a="1"/>
  <c r="E23" i="27" a="1"/>
  <c r="E50" i="27" a="1"/>
  <c r="E36" i="27" a="1"/>
  <c r="F44" i="21" a="1"/>
  <c r="F47" i="21" a="1"/>
  <c r="F50" i="21" a="1"/>
  <c r="E30" i="26" a="1"/>
  <c r="E18" i="26" a="1"/>
  <c r="E52" i="28" a="1"/>
  <c r="E28" i="28" a="1"/>
  <c r="E46" i="28" a="1"/>
  <c r="E23" i="24" a="1"/>
  <c r="F30" i="22" a="1"/>
  <c r="E42" i="25" a="1"/>
  <c r="F52" i="21" a="1"/>
  <c r="E22" i="28" a="1"/>
  <c r="F19" i="21" a="1"/>
  <c r="E51" i="26" a="1"/>
  <c r="E30" i="24" a="1"/>
  <c r="F23" i="22" a="1"/>
  <c r="E36" i="25" a="1"/>
  <c r="F16" i="9" a="1"/>
  <c r="E26" i="27" a="1"/>
  <c r="E49" i="28" a="1"/>
  <c r="F20" i="20" a="1"/>
  <c r="E15" i="25" a="1"/>
  <c r="F40" i="23" a="1"/>
  <c r="E35" i="27" a="1"/>
  <c r="E54" i="27" a="1"/>
  <c r="E20" i="27" a="1"/>
  <c r="F21" i="21" a="1"/>
  <c r="F48" i="21" a="1"/>
  <c r="F54" i="21" a="1"/>
  <c r="F28" i="21" a="1"/>
  <c r="E53" i="26" a="1"/>
  <c r="E52" i="26" a="1"/>
  <c r="E39" i="26" a="1"/>
  <c r="E20" i="28" a="1"/>
  <c r="E26" i="28" a="1"/>
  <c r="E33" i="28" a="1"/>
  <c r="E21" i="28" a="1"/>
  <c r="E47" i="24" a="1"/>
  <c r="E43" i="24" a="1"/>
  <c r="E22" i="24" a="1"/>
  <c r="F36" i="22" a="1"/>
  <c r="F27" i="22" a="1"/>
  <c r="F53" i="22" a="1"/>
  <c r="F38" i="22" a="1"/>
  <c r="F36" i="20" a="1"/>
  <c r="F48" i="20" a="1"/>
  <c r="F50" i="20" a="1"/>
  <c r="E18" i="29" a="1"/>
  <c r="E32" i="29" a="1"/>
  <c r="E49" i="29" a="1"/>
  <c r="E22" i="29" a="1"/>
  <c r="E48" i="25" a="1"/>
  <c r="E50" i="25" a="1"/>
  <c r="E35" i="25" a="1"/>
  <c r="F27" i="19" a="1"/>
  <c r="F53" i="19" a="1"/>
  <c r="F19" i="19" a="1"/>
  <c r="F28" i="19" a="1"/>
  <c r="F44" i="23" a="1"/>
  <c r="F17" i="23" a="1"/>
  <c r="F30" i="23" a="1"/>
  <c r="F33" i="9" a="1"/>
  <c r="F25" i="9" a="1"/>
  <c r="F23" i="9" a="1"/>
  <c r="F48" i="9" a="1"/>
  <c r="F41" i="21" a="1"/>
  <c r="E26" i="24" a="1"/>
  <c r="E24" i="24" a="1"/>
  <c r="F15" i="22" a="1"/>
  <c r="E45" i="29" a="1"/>
  <c r="F47" i="19" a="1"/>
  <c r="F49" i="9" a="1"/>
  <c r="F49" i="9" l="1"/>
  <c r="F47" i="19"/>
  <c r="E45" i="29"/>
  <c r="F15" i="22"/>
  <c r="E24" i="24"/>
  <c r="E26" i="24"/>
  <c r="F41" i="21"/>
  <c r="F48" i="9"/>
  <c r="F23" i="9"/>
  <c r="F25" i="9"/>
  <c r="F33" i="9"/>
  <c r="F30" i="23"/>
  <c r="F17" i="23"/>
  <c r="F44" i="23"/>
  <c r="F28" i="19"/>
  <c r="F19" i="19"/>
  <c r="F53" i="19"/>
  <c r="F27" i="19"/>
  <c r="E35" i="25"/>
  <c r="E50" i="25"/>
  <c r="E48" i="25"/>
  <c r="E22" i="29"/>
  <c r="E49" i="29"/>
  <c r="E32" i="29"/>
  <c r="E18" i="29"/>
  <c r="F50" i="20"/>
  <c r="F48" i="20"/>
  <c r="F36" i="20"/>
  <c r="F38" i="22"/>
  <c r="F53" i="22"/>
  <c r="F27" i="22"/>
  <c r="F36" i="22"/>
  <c r="E22" i="24"/>
  <c r="E43" i="24"/>
  <c r="E47" i="24"/>
  <c r="E21" i="28"/>
  <c r="E33" i="28"/>
  <c r="E26" i="28"/>
  <c r="E20" i="28"/>
  <c r="E39" i="26"/>
  <c r="E52" i="26"/>
  <c r="E53" i="26"/>
  <c r="F28" i="21"/>
  <c r="F54" i="21"/>
  <c r="F48" i="21"/>
  <c r="F21" i="21"/>
  <c r="E20" i="27"/>
  <c r="E54" i="27"/>
  <c r="E35" i="27"/>
  <c r="F40" i="23"/>
  <c r="E15" i="25"/>
  <c r="F20" i="20"/>
  <c r="E49" i="28"/>
  <c r="E26" i="27"/>
  <c r="F16" i="9"/>
  <c r="E36" i="25"/>
  <c r="F23" i="22"/>
  <c r="E30" i="24"/>
  <c r="E51" i="26"/>
  <c r="F19" i="21"/>
  <c r="E22" i="28"/>
  <c r="F52" i="21"/>
  <c r="E42" i="25"/>
  <c r="F30" i="22"/>
  <c r="E23" i="24"/>
  <c r="E46" i="28"/>
  <c r="E28" i="28"/>
  <c r="E52" i="28"/>
  <c r="E18" i="26"/>
  <c r="E30" i="26"/>
  <c r="F50" i="21"/>
  <c r="F47" i="21"/>
  <c r="F44" i="21"/>
  <c r="E36" i="27"/>
  <c r="E50" i="27"/>
  <c r="E23" i="27"/>
  <c r="F27" i="9"/>
  <c r="F53" i="9"/>
  <c r="F17" i="9"/>
  <c r="F19" i="9"/>
  <c r="F25" i="23"/>
  <c r="F29" i="23"/>
  <c r="F16" i="23"/>
  <c r="F34" i="19"/>
  <c r="F25" i="19"/>
  <c r="F18" i="19"/>
  <c r="F24" i="19"/>
  <c r="E31" i="25"/>
  <c r="E52" i="25"/>
  <c r="E46" i="25"/>
  <c r="E28" i="29"/>
  <c r="E50" i="29"/>
  <c r="E31" i="29"/>
  <c r="E53" i="29"/>
  <c r="F32" i="20"/>
  <c r="F46" i="20"/>
  <c r="F45" i="20"/>
  <c r="F33" i="22"/>
  <c r="F42" i="22"/>
  <c r="F50" i="22"/>
  <c r="F43" i="22"/>
  <c r="E51" i="24"/>
  <c r="E50" i="24"/>
  <c r="E35" i="24"/>
  <c r="E19" i="28"/>
  <c r="E50" i="28"/>
  <c r="E24" i="28"/>
  <c r="E47" i="28"/>
  <c r="E25" i="26"/>
  <c r="E50" i="26"/>
  <c r="E32" i="26"/>
  <c r="F42" i="21"/>
  <c r="F49" i="21"/>
  <c r="F40" i="21"/>
  <c r="F27" i="21"/>
  <c r="E43" i="27"/>
  <c r="E52" i="27"/>
  <c r="E21" i="27"/>
  <c r="F20" i="23"/>
  <c r="E40" i="29"/>
  <c r="F25" i="20"/>
  <c r="F21" i="20"/>
  <c r="F20" i="22"/>
  <c r="F52" i="22"/>
  <c r="E43" i="26"/>
  <c r="F35" i="9"/>
  <c r="E23" i="29"/>
  <c r="F42" i="20"/>
  <c r="E18" i="24"/>
  <c r="E15" i="28"/>
  <c r="F38" i="9"/>
  <c r="F26" i="9"/>
  <c r="F36" i="9"/>
  <c r="F42" i="9"/>
  <c r="F54" i="23"/>
  <c r="F35" i="23"/>
  <c r="F42" i="23"/>
  <c r="F45" i="19"/>
  <c r="F46" i="19"/>
  <c r="F54" i="19"/>
  <c r="F26" i="19"/>
  <c r="E47" i="25"/>
  <c r="E53" i="25"/>
  <c r="E45" i="25"/>
  <c r="E42" i="29"/>
  <c r="E38" i="29"/>
  <c r="E43" i="29"/>
  <c r="E15" i="29"/>
  <c r="F29" i="20"/>
  <c r="F41" i="20"/>
  <c r="F54" i="20"/>
  <c r="F26" i="22"/>
  <c r="F46" i="22"/>
  <c r="F35" i="22"/>
  <c r="F51" i="22"/>
  <c r="E28" i="24"/>
  <c r="E29" i="24"/>
  <c r="E34" i="24"/>
  <c r="E42" i="28"/>
  <c r="E35" i="28"/>
  <c r="E37" i="28"/>
  <c r="E53" i="28"/>
  <c r="E27" i="26"/>
  <c r="E21" i="26"/>
  <c r="E20" i="26"/>
  <c r="F22" i="21"/>
  <c r="F20" i="21"/>
  <c r="F46" i="21"/>
  <c r="F30" i="21"/>
  <c r="E42" i="27"/>
  <c r="E18" i="27"/>
  <c r="E37" i="27"/>
  <c r="F34" i="9"/>
  <c r="F41" i="19"/>
  <c r="E51" i="29"/>
  <c r="E34" i="28"/>
  <c r="E15" i="27"/>
  <c r="F23" i="23"/>
  <c r="F38" i="19"/>
  <c r="F17" i="19"/>
  <c r="F29" i="19"/>
  <c r="E48" i="29"/>
  <c r="E41" i="24"/>
  <c r="E45" i="28"/>
  <c r="E36" i="28"/>
  <c r="E48" i="28"/>
  <c r="E22" i="26"/>
  <c r="E49" i="26"/>
  <c r="E54" i="26"/>
  <c r="F51" i="21"/>
  <c r="F29" i="21"/>
  <c r="F38" i="21"/>
  <c r="E48" i="27"/>
  <c r="E31" i="27"/>
  <c r="E24" i="27"/>
  <c r="E38" i="26"/>
  <c r="F38" i="23"/>
  <c r="F51" i="20"/>
  <c r="F46" i="9"/>
  <c r="F52" i="23"/>
  <c r="E33" i="25"/>
  <c r="F44" i="22"/>
  <c r="F43" i="9"/>
  <c r="F27" i="23"/>
  <c r="F42" i="19"/>
  <c r="F21" i="19"/>
  <c r="E41" i="25"/>
  <c r="E33" i="29"/>
  <c r="F38" i="20"/>
  <c r="F33" i="20"/>
  <c r="F22" i="22"/>
  <c r="E38" i="24"/>
  <c r="E15" i="24"/>
  <c r="E18" i="28"/>
  <c r="E54" i="28"/>
  <c r="E40" i="28"/>
  <c r="E45" i="26"/>
  <c r="E41" i="26"/>
  <c r="E16" i="26"/>
  <c r="F43" i="21"/>
  <c r="F25" i="21"/>
  <c r="F23" i="21"/>
  <c r="E27" i="27"/>
  <c r="E33" i="27"/>
  <c r="E45" i="27"/>
  <c r="F28" i="23"/>
  <c r="F49" i="19"/>
  <c r="E34" i="29"/>
  <c r="F45" i="22"/>
  <c r="F48" i="19"/>
  <c r="F24" i="22"/>
  <c r="F15" i="9"/>
  <c r="F21" i="23"/>
  <c r="F41" i="23"/>
  <c r="F23" i="19"/>
  <c r="E30" i="25"/>
  <c r="E18" i="25"/>
  <c r="E21" i="29"/>
  <c r="E25" i="29"/>
  <c r="F22" i="20"/>
  <c r="F54" i="22"/>
  <c r="F48" i="22"/>
  <c r="E53" i="24"/>
  <c r="F40" i="9"/>
  <c r="F20" i="9"/>
  <c r="F37" i="9"/>
  <c r="F15" i="23"/>
  <c r="F19" i="23"/>
  <c r="F53" i="23"/>
  <c r="F51" i="23"/>
  <c r="F32" i="19"/>
  <c r="F20" i="19"/>
  <c r="F37" i="19"/>
  <c r="E54" i="25"/>
  <c r="E23" i="25"/>
  <c r="E38" i="25"/>
  <c r="E17" i="25"/>
  <c r="E46" i="29"/>
  <c r="E27" i="29"/>
  <c r="E20" i="29"/>
  <c r="F30" i="20"/>
  <c r="F35" i="20"/>
  <c r="F18" i="20"/>
  <c r="F52" i="20"/>
  <c r="F18" i="22"/>
  <c r="F37" i="22"/>
  <c r="F40" i="22"/>
  <c r="E31" i="24"/>
  <c r="E20" i="24"/>
  <c r="E37" i="24"/>
  <c r="E46" i="24"/>
  <c r="E25" i="28"/>
  <c r="E16" i="28"/>
  <c r="E51" i="28"/>
  <c r="E23" i="26"/>
  <c r="E36" i="26"/>
  <c r="E35" i="26"/>
  <c r="E24" i="26"/>
  <c r="F53" i="21"/>
  <c r="F16" i="21"/>
  <c r="F15" i="21"/>
  <c r="E32" i="27"/>
  <c r="E29" i="27"/>
  <c r="E46" i="27"/>
  <c r="E47" i="27"/>
  <c r="E41" i="27"/>
  <c r="F32" i="9"/>
  <c r="F36" i="23"/>
  <c r="E52" i="29"/>
  <c r="F41" i="22"/>
  <c r="F21" i="9"/>
  <c r="F29" i="9"/>
  <c r="F54" i="9"/>
  <c r="F49" i="23"/>
  <c r="F22" i="23"/>
  <c r="F51" i="19"/>
  <c r="F50" i="9"/>
  <c r="F39" i="9"/>
  <c r="F34" i="23"/>
  <c r="F39" i="23"/>
  <c r="F31" i="23"/>
  <c r="F50" i="23"/>
  <c r="F44" i="19"/>
  <c r="F31" i="19"/>
  <c r="F30" i="19"/>
  <c r="E21" i="25"/>
  <c r="E37" i="25"/>
  <c r="E40" i="25"/>
  <c r="E51" i="25"/>
  <c r="E19" i="29"/>
  <c r="E44" i="29"/>
  <c r="E41" i="29"/>
  <c r="F43" i="20"/>
  <c r="F27" i="20"/>
  <c r="F16" i="20"/>
  <c r="F17" i="20"/>
  <c r="F16" i="22"/>
  <c r="F28" i="22"/>
  <c r="F21" i="22"/>
  <c r="E32" i="24"/>
  <c r="E40" i="24"/>
  <c r="E21" i="24"/>
  <c r="E54" i="24"/>
  <c r="E41" i="28"/>
  <c r="E39" i="28"/>
  <c r="E32" i="28"/>
  <c r="E28" i="26"/>
  <c r="E47" i="26"/>
  <c r="E46" i="26"/>
  <c r="E31" i="26"/>
  <c r="F37" i="21"/>
  <c r="F36" i="21"/>
  <c r="F18" i="21"/>
  <c r="E34" i="27"/>
  <c r="E19" i="27"/>
  <c r="E30" i="27"/>
  <c r="E16" i="27"/>
  <c r="E39" i="24"/>
  <c r="F33" i="21"/>
  <c r="F31" i="9"/>
  <c r="F35" i="19"/>
  <c r="E32" i="25"/>
  <c r="E16" i="29"/>
  <c r="F19" i="20"/>
  <c r="F47" i="22"/>
  <c r="E19" i="24"/>
  <c r="F47" i="9"/>
  <c r="F18" i="23"/>
  <c r="F50" i="19"/>
  <c r="E19" i="25"/>
  <c r="E39" i="25"/>
  <c r="E17" i="29"/>
  <c r="E37" i="29"/>
  <c r="F31" i="22"/>
  <c r="E52" i="24"/>
  <c r="E38" i="28"/>
  <c r="E26" i="26"/>
  <c r="F40" i="19"/>
  <c r="E29" i="25"/>
  <c r="E27" i="25"/>
  <c r="E44" i="25"/>
  <c r="E35" i="29"/>
  <c r="E39" i="29"/>
  <c r="F53" i="20"/>
  <c r="F40" i="20"/>
  <c r="E49" i="24"/>
  <c r="F22" i="9"/>
  <c r="F24" i="9"/>
  <c r="F18" i="9"/>
  <c r="F52" i="9"/>
  <c r="F32" i="23"/>
  <c r="F24" i="23"/>
  <c r="F37" i="23"/>
  <c r="F22" i="19"/>
  <c r="F36" i="19"/>
  <c r="E24" i="25"/>
  <c r="E34" i="25"/>
  <c r="E47" i="29"/>
  <c r="F31" i="20"/>
  <c r="F34" i="20"/>
  <c r="F47" i="20"/>
  <c r="F49" i="20"/>
  <c r="F34" i="22"/>
  <c r="F39" i="22"/>
  <c r="E27" i="24"/>
  <c r="E36" i="24"/>
  <c r="E45" i="24"/>
  <c r="E29" i="28"/>
  <c r="E23" i="28"/>
  <c r="E17" i="26"/>
  <c r="E15" i="26"/>
  <c r="E44" i="26"/>
  <c r="F32" i="21"/>
  <c r="F31" i="21"/>
  <c r="F26" i="21"/>
  <c r="E38" i="27"/>
  <c r="E39" i="27"/>
  <c r="E49" i="27"/>
  <c r="E53" i="27"/>
  <c r="F45" i="9"/>
  <c r="F28" i="9"/>
  <c r="F51" i="9"/>
  <c r="F47" i="23"/>
  <c r="F45" i="23"/>
  <c r="F48" i="23"/>
  <c r="F43" i="23"/>
  <c r="F39" i="19"/>
  <c r="F33" i="19"/>
  <c r="F16" i="19"/>
  <c r="E25" i="25"/>
  <c r="E43" i="25"/>
  <c r="E49" i="25"/>
  <c r="E22" i="25"/>
  <c r="E54" i="29"/>
  <c r="E29" i="29"/>
  <c r="E30" i="29"/>
  <c r="F26" i="20"/>
  <c r="F23" i="20"/>
  <c r="F44" i="20"/>
  <c r="F15" i="20"/>
  <c r="F29" i="22"/>
  <c r="F19" i="22"/>
  <c r="F25" i="22"/>
  <c r="E48" i="24"/>
  <c r="E42" i="24"/>
  <c r="E25" i="24"/>
  <c r="E33" i="24"/>
  <c r="E17" i="28"/>
  <c r="E31" i="28"/>
  <c r="E44" i="28"/>
  <c r="E34" i="26"/>
  <c r="E29" i="26"/>
  <c r="E19" i="26"/>
  <c r="E37" i="26"/>
  <c r="F39" i="21"/>
  <c r="F17" i="21"/>
  <c r="F24" i="21"/>
  <c r="E25" i="27"/>
  <c r="E44" i="27"/>
  <c r="E40" i="27"/>
  <c r="E28" i="27"/>
  <c r="E40" i="26"/>
  <c r="E26" i="25"/>
  <c r="F37" i="20"/>
  <c r="F30" i="9"/>
  <c r="F41" i="9"/>
  <c r="F44" i="9"/>
  <c r="F33" i="23"/>
  <c r="F26" i="23"/>
  <c r="F46" i="23"/>
  <c r="F43" i="19"/>
  <c r="F52" i="19"/>
  <c r="F15" i="19"/>
  <c r="E20" i="25"/>
  <c r="E16" i="25"/>
  <c r="E28" i="25"/>
  <c r="E26" i="29"/>
  <c r="E36" i="29"/>
  <c r="E24" i="29"/>
  <c r="F24" i="20"/>
  <c r="F39" i="20"/>
  <c r="F28" i="20"/>
  <c r="F49" i="22"/>
  <c r="F32" i="22"/>
  <c r="F17" i="22"/>
  <c r="E17" i="24"/>
  <c r="E16" i="24"/>
  <c r="E44" i="24"/>
  <c r="E30" i="28"/>
  <c r="E27" i="28"/>
  <c r="E43" i="28"/>
  <c r="E33" i="26"/>
  <c r="E42" i="26"/>
  <c r="E48" i="26"/>
  <c r="F45" i="21"/>
  <c r="F34" i="21"/>
  <c r="F35" i="21"/>
  <c r="E17" i="27"/>
  <c r="E22" i="27"/>
  <c r="E51" i="27"/>
  <c r="G11" i="26"/>
  <c r="F12" i="26"/>
  <c r="G11" i="27"/>
  <c r="F12" i="27"/>
  <c r="G11" i="25"/>
  <c r="F12" i="25"/>
  <c r="F12" i="28"/>
  <c r="G11" i="28"/>
  <c r="H11" i="21"/>
  <c r="G12" i="21"/>
  <c r="G12" i="23"/>
  <c r="H11" i="23"/>
  <c r="G11" i="29"/>
  <c r="F12" i="29"/>
  <c r="G12" i="22"/>
  <c r="H11" i="22"/>
  <c r="H11" i="19"/>
  <c r="G12" i="19"/>
  <c r="H11" i="9"/>
  <c r="G12" i="9"/>
  <c r="G12" i="20"/>
  <c r="H11" i="20"/>
  <c r="G11" i="24"/>
  <c r="F12" i="24"/>
  <c r="F30" i="26" a="1"/>
  <c r="F50" i="26" a="1"/>
  <c r="F32" i="26" a="1"/>
  <c r="F44" i="26" a="1"/>
  <c r="F21" i="27" a="1"/>
  <c r="F25" i="27" a="1"/>
  <c r="F40" i="27" a="1"/>
  <c r="F43" i="25" a="1"/>
  <c r="F21" i="25" a="1"/>
  <c r="F15" i="25" a="1"/>
  <c r="F49" i="28" a="1"/>
  <c r="F37" i="28" a="1"/>
  <c r="F50" i="28" a="1"/>
  <c r="G54" i="21" a="1"/>
  <c r="G26" i="21" a="1"/>
  <c r="G24" i="21" a="1"/>
  <c r="G31" i="23" a="1"/>
  <c r="G15" i="23" a="1"/>
  <c r="G35" i="23" a="1"/>
  <c r="F52" i="29" a="1"/>
  <c r="F39" i="29" a="1"/>
  <c r="F51" i="29" a="1"/>
  <c r="G52" i="22" a="1"/>
  <c r="G32" i="22" a="1"/>
  <c r="G40" i="22" a="1"/>
  <c r="G51" i="19" a="1"/>
  <c r="G18" i="19" a="1"/>
  <c r="G34" i="19" a="1"/>
  <c r="G23" i="9" a="1"/>
  <c r="G45" i="9" a="1"/>
  <c r="G18" i="9" a="1"/>
  <c r="G27" i="20" a="1"/>
  <c r="G43" i="20" a="1"/>
  <c r="G26" i="20" a="1"/>
  <c r="F20" i="24" a="1"/>
  <c r="F18" i="24" a="1"/>
  <c r="F19" i="24" a="1"/>
  <c r="F51" i="26" a="1"/>
  <c r="F34" i="26" a="1"/>
  <c r="F38" i="26" a="1"/>
  <c r="F54" i="26" a="1"/>
  <c r="F22" i="27" a="1"/>
  <c r="F46" i="27" a="1"/>
  <c r="F43" i="27" a="1"/>
  <c r="F51" i="25" a="1"/>
  <c r="F47" i="25" a="1"/>
  <c r="F33" i="25" a="1"/>
  <c r="F31" i="25" a="1"/>
  <c r="F31" i="28" a="1"/>
  <c r="F28" i="28" a="1"/>
  <c r="F30" i="28" a="1"/>
  <c r="G42" i="21" a="1"/>
  <c r="G51" i="21" a="1"/>
  <c r="G16" i="21" a="1"/>
  <c r="G48" i="21" a="1"/>
  <c r="G51" i="23" a="1"/>
  <c r="G52" i="23" a="1"/>
  <c r="G40" i="23" a="1"/>
  <c r="F20" i="29" a="1"/>
  <c r="F43" i="29" a="1"/>
  <c r="F26" i="29" a="1"/>
  <c r="G50" i="22" a="1"/>
  <c r="G20" i="19" a="1"/>
  <c r="G52" i="20" a="1"/>
  <c r="F32" i="24" a="1"/>
  <c r="F25" i="26" a="1"/>
  <c r="F48" i="26" a="1"/>
  <c r="F22" i="26" a="1"/>
  <c r="F17" i="26" a="1"/>
  <c r="F38" i="27" a="1"/>
  <c r="F41" i="27" a="1"/>
  <c r="F29" i="27" a="1"/>
  <c r="F37" i="25" a="1"/>
  <c r="F36" i="25" a="1"/>
  <c r="F45" i="25" a="1"/>
  <c r="F24" i="25" a="1"/>
  <c r="F39" i="28" a="1"/>
  <c r="F17" i="28" a="1"/>
  <c r="F35" i="28" a="1"/>
  <c r="G45" i="21" a="1"/>
  <c r="G20" i="21" a="1"/>
  <c r="G29" i="21" a="1"/>
  <c r="G18" i="21" a="1"/>
  <c r="G36" i="23" a="1"/>
  <c r="G30" i="23" a="1"/>
  <c r="G20" i="23" a="1"/>
  <c r="F33" i="29" a="1"/>
  <c r="F44" i="29" a="1"/>
  <c r="F31" i="29" a="1"/>
  <c r="F15" i="29" a="1"/>
  <c r="G51" i="22" a="1"/>
  <c r="G53" i="22" a="1"/>
  <c r="G41" i="22" a="1"/>
  <c r="G44" i="19" a="1"/>
  <c r="G32" i="19" a="1"/>
  <c r="G23" i="19" a="1"/>
  <c r="G47" i="19" a="1"/>
  <c r="G38" i="9" a="1"/>
  <c r="G36" i="9" a="1"/>
  <c r="G41" i="20" a="1"/>
  <c r="G16" i="20" a="1"/>
  <c r="G30" i="20" a="1"/>
  <c r="G38" i="20" a="1"/>
  <c r="F35" i="24" a="1"/>
  <c r="F16" i="24" a="1"/>
  <c r="F31" i="24" a="1"/>
  <c r="G28" i="20" a="1"/>
  <c r="F23" i="29" a="1"/>
  <c r="G54" i="22" a="1"/>
  <c r="G17" i="19" a="1"/>
  <c r="F19" i="26" a="1"/>
  <c r="F36" i="26" a="1"/>
  <c r="F43" i="26" a="1"/>
  <c r="F46" i="26" a="1"/>
  <c r="F42" i="27" a="1"/>
  <c r="F33" i="27" a="1"/>
  <c r="F18" i="27" a="1"/>
  <c r="F26" i="25" a="1"/>
  <c r="F28" i="25" a="1"/>
  <c r="F20" i="25" a="1"/>
  <c r="F35" i="25" a="1"/>
  <c r="F22" i="28" a="1"/>
  <c r="F41" i="28" a="1"/>
  <c r="F40" i="28" a="1"/>
  <c r="G21" i="21" a="1"/>
  <c r="G43" i="21" a="1"/>
  <c r="G33" i="21" a="1"/>
  <c r="G25" i="21" a="1"/>
  <c r="G33" i="23" a="1"/>
  <c r="G39" i="23" a="1"/>
  <c r="G41" i="23" a="1"/>
  <c r="F42" i="29" a="1"/>
  <c r="F37" i="29" a="1"/>
  <c r="F19" i="29" a="1"/>
  <c r="F38" i="29" a="1"/>
  <c r="G26" i="22" a="1"/>
  <c r="G17" i="22" a="1"/>
  <c r="G39" i="22" a="1"/>
  <c r="G15" i="19" a="1"/>
  <c r="G25" i="19" a="1"/>
  <c r="G26" i="19" a="1"/>
  <c r="G46" i="19" a="1"/>
  <c r="G17" i="9" a="1"/>
  <c r="G21" i="9" a="1"/>
  <c r="G16" i="9" a="1"/>
  <c r="G35" i="20" a="1"/>
  <c r="G23" i="20" a="1"/>
  <c r="G18" i="20" a="1"/>
  <c r="G46" i="20" a="1"/>
  <c r="F45" i="24" a="1"/>
  <c r="F53" i="24" a="1"/>
  <c r="F54" i="24" a="1"/>
  <c r="F30" i="25" a="1"/>
  <c r="F50" i="29" a="1"/>
  <c r="G28" i="19" a="1"/>
  <c r="G19" i="19" a="1"/>
  <c r="G47" i="9" a="1"/>
  <c r="G48" i="20" a="1"/>
  <c r="F37" i="24" a="1"/>
  <c r="F36" i="24" a="1"/>
  <c r="F17" i="27" a="1"/>
  <c r="F54" i="25" a="1"/>
  <c r="F52" i="28" a="1"/>
  <c r="G17" i="21" a="1"/>
  <c r="G24" i="23" a="1"/>
  <c r="G22" i="19" a="1"/>
  <c r="F34" i="24" a="1"/>
  <c r="G31" i="19" a="1"/>
  <c r="F27" i="26" a="1"/>
  <c r="F45" i="26" a="1"/>
  <c r="F18" i="26" a="1"/>
  <c r="F42" i="26" a="1"/>
  <c r="F45" i="27" a="1"/>
  <c r="F44" i="27" a="1"/>
  <c r="F35" i="27" a="1"/>
  <c r="F41" i="25" a="1"/>
  <c r="F42" i="25" a="1"/>
  <c r="F16" i="25" a="1"/>
  <c r="F38" i="28" a="1"/>
  <c r="F29" i="28" a="1"/>
  <c r="F42" i="28" a="1"/>
  <c r="G39" i="21" a="1"/>
  <c r="G27" i="21" a="1"/>
  <c r="G44" i="21" a="1"/>
  <c r="G46" i="21" a="1"/>
  <c r="G34" i="23" a="1"/>
  <c r="G44" i="23" a="1"/>
  <c r="G25" i="23" a="1"/>
  <c r="F30" i="29" a="1"/>
  <c r="F22" i="29" a="1"/>
  <c r="F17" i="29" a="1"/>
  <c r="G44" i="22" a="1"/>
  <c r="G23" i="22" a="1"/>
  <c r="G45" i="22" a="1"/>
  <c r="G45" i="19" a="1"/>
  <c r="G43" i="19" a="1"/>
  <c r="G53" i="9" a="1"/>
  <c r="G51" i="9" a="1"/>
  <c r="G50" i="20" a="1"/>
  <c r="G47" i="20" a="1"/>
  <c r="G51" i="20" a="1"/>
  <c r="F28" i="24" a="1"/>
  <c r="F45" i="29" a="1"/>
  <c r="G42" i="22" a="1"/>
  <c r="G20" i="9" a="1"/>
  <c r="G26" i="9" a="1"/>
  <c r="G27" i="9" a="1"/>
  <c r="G20" i="20" a="1"/>
  <c r="G44" i="20" a="1"/>
  <c r="F22" i="24" a="1"/>
  <c r="F33" i="26" a="1"/>
  <c r="F16" i="26" a="1"/>
  <c r="F15" i="26" a="1"/>
  <c r="F31" i="27" a="1"/>
  <c r="F32" i="27" a="1"/>
  <c r="F37" i="27" a="1"/>
  <c r="F34" i="25" a="1"/>
  <c r="F49" i="25" a="1"/>
  <c r="F29" i="25" a="1"/>
  <c r="F18" i="28" a="1"/>
  <c r="F34" i="28" a="1"/>
  <c r="F20" i="28" a="1"/>
  <c r="G15" i="21" a="1"/>
  <c r="G32" i="21" a="1"/>
  <c r="G49" i="21" a="1"/>
  <c r="G43" i="23" a="1"/>
  <c r="G50" i="23" a="1"/>
  <c r="G26" i="23" a="1"/>
  <c r="F25" i="29" a="1"/>
  <c r="F27" i="29" a="1"/>
  <c r="F35" i="29" a="1"/>
  <c r="G35" i="22" a="1"/>
  <c r="G22" i="22" a="1"/>
  <c r="G47" i="22" a="1"/>
  <c r="G41" i="19" a="1"/>
  <c r="G37" i="19" a="1"/>
  <c r="G36" i="19" a="1"/>
  <c r="G15" i="9" a="1"/>
  <c r="G44" i="9" a="1"/>
  <c r="G29" i="9" a="1"/>
  <c r="G31" i="9" a="1"/>
  <c r="G22" i="20" a="1"/>
  <c r="G32" i="20" a="1"/>
  <c r="G42" i="20" a="1"/>
  <c r="F26" i="24" a="1"/>
  <c r="F15" i="24" a="1"/>
  <c r="F30" i="24" a="1"/>
  <c r="F17" i="24" a="1"/>
  <c r="F40" i="24" a="1"/>
  <c r="F31" i="26" a="1"/>
  <c r="F24" i="27" a="1"/>
  <c r="F39" i="25" a="1"/>
  <c r="F36" i="28" a="1"/>
  <c r="F19" i="28" a="1"/>
  <c r="G47" i="21" a="1"/>
  <c r="G52" i="21" a="1"/>
  <c r="G47" i="23" a="1"/>
  <c r="G18" i="23" a="1"/>
  <c r="G19" i="23" a="1"/>
  <c r="F28" i="29" a="1"/>
  <c r="G34" i="22" a="1"/>
  <c r="G42" i="9" a="1"/>
  <c r="G35" i="9" a="1"/>
  <c r="G37" i="20" a="1"/>
  <c r="F27" i="24" a="1"/>
  <c r="F48" i="24" a="1"/>
  <c r="F43" i="24" a="1"/>
  <c r="F24" i="24" a="1"/>
  <c r="F44" i="24" a="1"/>
  <c r="G30" i="19" a="1"/>
  <c r="G33" i="9" a="1"/>
  <c r="F37" i="26" a="1"/>
  <c r="F18" i="25" a="1"/>
  <c r="G20" i="22" a="1"/>
  <c r="G43" i="9" a="1"/>
  <c r="G21" i="20" a="1"/>
  <c r="F23" i="24" a="1"/>
  <c r="G24" i="9" a="1"/>
  <c r="F39" i="24" a="1"/>
  <c r="F40" i="26" a="1"/>
  <c r="F52" i="26" a="1"/>
  <c r="F28" i="26" a="1"/>
  <c r="F39" i="27" a="1"/>
  <c r="F36" i="27" a="1"/>
  <c r="F34" i="27" a="1"/>
  <c r="F27" i="25" a="1"/>
  <c r="F44" i="25" a="1"/>
  <c r="F32" i="25" a="1"/>
  <c r="F47" i="28" a="1"/>
  <c r="F51" i="28" a="1"/>
  <c r="F15" i="28" a="1"/>
  <c r="G37" i="21" a="1"/>
  <c r="G31" i="21" a="1"/>
  <c r="G50" i="21" a="1"/>
  <c r="G16" i="23" a="1"/>
  <c r="G42" i="23" a="1"/>
  <c r="G38" i="23" a="1"/>
  <c r="F18" i="29" a="1"/>
  <c r="F48" i="29" a="1"/>
  <c r="F40" i="29" a="1"/>
  <c r="G21" i="22" a="1"/>
  <c r="G18" i="22" a="1"/>
  <c r="G36" i="22" a="1"/>
  <c r="G33" i="19" a="1"/>
  <c r="G35" i="19" a="1"/>
  <c r="G54" i="19" a="1"/>
  <c r="G22" i="9" a="1"/>
  <c r="G52" i="9" a="1"/>
  <c r="G41" i="9" a="1"/>
  <c r="G30" i="9" a="1"/>
  <c r="G17" i="20" a="1"/>
  <c r="G49" i="20" a="1"/>
  <c r="G34" i="20" a="1"/>
  <c r="F50" i="24" a="1"/>
  <c r="F35" i="26" a="1"/>
  <c r="F49" i="26" a="1"/>
  <c r="F28" i="27" a="1"/>
  <c r="F19" i="27" a="1"/>
  <c r="F47" i="27" a="1"/>
  <c r="F25" i="25" a="1"/>
  <c r="F46" i="25" a="1"/>
  <c r="F24" i="28" a="1"/>
  <c r="F45" i="28" a="1"/>
  <c r="G30" i="21" a="1"/>
  <c r="G45" i="23" a="1"/>
  <c r="F41" i="29" a="1"/>
  <c r="F29" i="29" a="1"/>
  <c r="G37" i="22" a="1"/>
  <c r="G38" i="22" a="1"/>
  <c r="G15" i="22" a="1"/>
  <c r="G27" i="19" a="1"/>
  <c r="G16" i="19" a="1"/>
  <c r="G50" i="19" a="1"/>
  <c r="G40" i="9" a="1"/>
  <c r="G46" i="9" a="1"/>
  <c r="G39" i="20" a="1"/>
  <c r="G25" i="20" a="1"/>
  <c r="F25" i="24" a="1"/>
  <c r="G21" i="19" a="1"/>
  <c r="G24" i="20" a="1"/>
  <c r="G31" i="20" a="1"/>
  <c r="F49" i="24" a="1"/>
  <c r="F38" i="24" a="1"/>
  <c r="F46" i="24" a="1"/>
  <c r="F20" i="26" a="1"/>
  <c r="F52" i="27" a="1"/>
  <c r="F19" i="25" a="1"/>
  <c r="F48" i="28" a="1"/>
  <c r="G41" i="21" a="1"/>
  <c r="G22" i="21" a="1"/>
  <c r="G28" i="23" a="1"/>
  <c r="F49" i="29" a="1"/>
  <c r="G38" i="19" a="1"/>
  <c r="F21" i="26" a="1"/>
  <c r="F29" i="26" a="1"/>
  <c r="F47" i="26" a="1"/>
  <c r="F50" i="27" a="1"/>
  <c r="F51" i="27" a="1"/>
  <c r="F26" i="27" a="1"/>
  <c r="F54" i="27" a="1"/>
  <c r="F48" i="25" a="1"/>
  <c r="F22" i="25" a="1"/>
  <c r="F38" i="25" a="1"/>
  <c r="F33" i="28" a="1"/>
  <c r="F53" i="28" a="1"/>
  <c r="F44" i="28" a="1"/>
  <c r="F21" i="28" a="1"/>
  <c r="G34" i="21" a="1"/>
  <c r="G40" i="21" a="1"/>
  <c r="G53" i="21" a="1"/>
  <c r="G17" i="23" a="1"/>
  <c r="G49" i="23" a="1"/>
  <c r="G48" i="23" a="1"/>
  <c r="G29" i="23" a="1"/>
  <c r="F47" i="29" a="1"/>
  <c r="F46" i="29" a="1"/>
  <c r="F24" i="29" a="1"/>
  <c r="G24" i="22" a="1"/>
  <c r="G19" i="22" a="1"/>
  <c r="G28" i="22" a="1"/>
  <c r="G29" i="22" a="1"/>
  <c r="G39" i="19" a="1"/>
  <c r="G53" i="19" a="1"/>
  <c r="G29" i="19" a="1"/>
  <c r="G19" i="9" a="1"/>
  <c r="G25" i="9" a="1"/>
  <c r="G49" i="9" a="1"/>
  <c r="G28" i="9" a="1"/>
  <c r="G53" i="20" a="1"/>
  <c r="G40" i="20" a="1"/>
  <c r="G36" i="20" a="1"/>
  <c r="F21" i="24" a="1"/>
  <c r="F52" i="24" a="1"/>
  <c r="F42" i="24" a="1"/>
  <c r="F41" i="24" a="1"/>
  <c r="G37" i="9" a="1"/>
  <c r="G54" i="20" a="1"/>
  <c r="G50" i="9" a="1"/>
  <c r="F46" i="28" a="1"/>
  <c r="G31" i="22" a="1"/>
  <c r="G32" i="9" a="1"/>
  <c r="G15" i="20" a="1"/>
  <c r="G16" i="22" a="1"/>
  <c r="G42" i="19" a="1"/>
  <c r="F24" i="26" a="1"/>
  <c r="F26" i="26" a="1"/>
  <c r="F23" i="26" a="1"/>
  <c r="F49" i="27" a="1"/>
  <c r="F53" i="27" a="1"/>
  <c r="F48" i="27" a="1"/>
  <c r="F15" i="27" a="1"/>
  <c r="F50" i="25" a="1"/>
  <c r="F53" i="25" a="1"/>
  <c r="F23" i="25" a="1"/>
  <c r="F27" i="28" a="1"/>
  <c r="F32" i="28" a="1"/>
  <c r="F54" i="28" a="1"/>
  <c r="F43" i="28" a="1"/>
  <c r="G36" i="21" a="1"/>
  <c r="G23" i="21" a="1"/>
  <c r="G28" i="21" a="1"/>
  <c r="G22" i="23" a="1"/>
  <c r="G32" i="23" a="1"/>
  <c r="G46" i="23" a="1"/>
  <c r="G54" i="23" a="1"/>
  <c r="F21" i="29" a="1"/>
  <c r="F53" i="29" a="1"/>
  <c r="F54" i="29" a="1"/>
  <c r="G43" i="22" a="1"/>
  <c r="G49" i="22" a="1"/>
  <c r="G25" i="22" a="1"/>
  <c r="G30" i="22" a="1"/>
  <c r="G48" i="19" a="1"/>
  <c r="G24" i="19" a="1"/>
  <c r="G40" i="19" a="1"/>
  <c r="G39" i="9" a="1"/>
  <c r="G34" i="9" a="1"/>
  <c r="G19" i="20" a="1"/>
  <c r="G29" i="20" a="1"/>
  <c r="F51" i="24" a="1"/>
  <c r="F47" i="24" a="1"/>
  <c r="G54" i="9" a="1"/>
  <c r="G33" i="20" a="1"/>
  <c r="F33" i="24" a="1"/>
  <c r="F20" i="27" a="1"/>
  <c r="G53" i="23" a="1"/>
  <c r="F36" i="29" a="1"/>
  <c r="G49" i="19" a="1"/>
  <c r="F29" i="24" a="1"/>
  <c r="F53" i="26" a="1"/>
  <c r="F39" i="26" a="1"/>
  <c r="F41" i="26" a="1"/>
  <c r="F27" i="27" a="1"/>
  <c r="F23" i="27" a="1"/>
  <c r="F30" i="27" a="1"/>
  <c r="F16" i="27" a="1"/>
  <c r="F52" i="25" a="1"/>
  <c r="F40" i="25" a="1"/>
  <c r="F17" i="25" a="1"/>
  <c r="F23" i="28" a="1"/>
  <c r="F26" i="28" a="1"/>
  <c r="F25" i="28" a="1"/>
  <c r="F16" i="28" a="1"/>
  <c r="G35" i="21" a="1"/>
  <c r="G19" i="21" a="1"/>
  <c r="G38" i="21" a="1"/>
  <c r="G21" i="23" a="1"/>
  <c r="G23" i="23" a="1"/>
  <c r="G37" i="23" a="1"/>
  <c r="G27" i="23" a="1"/>
  <c r="F16" i="29" a="1"/>
  <c r="F34" i="29" a="1"/>
  <c r="F32" i="29" a="1"/>
  <c r="G27" i="22" a="1"/>
  <c r="G33" i="22" a="1"/>
  <c r="G48" i="22" a="1"/>
  <c r="G46" i="22" a="1"/>
  <c r="G52" i="19" a="1"/>
  <c r="G48" i="9" a="1"/>
  <c r="G45" i="20" a="1"/>
  <c r="G45" i="20" l="1"/>
  <c r="G48" i="9"/>
  <c r="G52" i="19"/>
  <c r="G46" i="22"/>
  <c r="G48" i="22"/>
  <c r="G33" i="22"/>
  <c r="G27" i="22"/>
  <c r="F32" i="29"/>
  <c r="F34" i="29"/>
  <c r="F16" i="29"/>
  <c r="G27" i="23"/>
  <c r="G37" i="23"/>
  <c r="G23" i="23"/>
  <c r="G21" i="23"/>
  <c r="G38" i="21"/>
  <c r="G19" i="21"/>
  <c r="G35" i="21"/>
  <c r="F16" i="28"/>
  <c r="F25" i="28"/>
  <c r="F26" i="28"/>
  <c r="F23" i="28"/>
  <c r="F17" i="25"/>
  <c r="F40" i="25"/>
  <c r="F52" i="25"/>
  <c r="F16" i="27"/>
  <c r="F30" i="27"/>
  <c r="F23" i="27"/>
  <c r="F27" i="27"/>
  <c r="F41" i="26"/>
  <c r="F39" i="26"/>
  <c r="F53" i="26"/>
  <c r="F29" i="24"/>
  <c r="G49" i="19"/>
  <c r="F36" i="29"/>
  <c r="G53" i="23"/>
  <c r="F20" i="27"/>
  <c r="F33" i="24"/>
  <c r="G33" i="20"/>
  <c r="G54" i="9"/>
  <c r="F47" i="24"/>
  <c r="F51" i="24"/>
  <c r="G29" i="20"/>
  <c r="G19" i="20"/>
  <c r="G34" i="9"/>
  <c r="G39" i="9"/>
  <c r="G40" i="19"/>
  <c r="G24" i="19"/>
  <c r="G48" i="19"/>
  <c r="G30" i="22"/>
  <c r="G25" i="22"/>
  <c r="G49" i="22"/>
  <c r="G43" i="22"/>
  <c r="F54" i="29"/>
  <c r="F53" i="29"/>
  <c r="F21" i="29"/>
  <c r="G54" i="23"/>
  <c r="G46" i="23"/>
  <c r="G32" i="23"/>
  <c r="G22" i="23"/>
  <c r="G28" i="21"/>
  <c r="G23" i="21"/>
  <c r="G36" i="21"/>
  <c r="F43" i="28"/>
  <c r="F54" i="28"/>
  <c r="F32" i="28"/>
  <c r="F27" i="28"/>
  <c r="F23" i="25"/>
  <c r="F53" i="25"/>
  <c r="F50" i="25"/>
  <c r="F15" i="27"/>
  <c r="F48" i="27"/>
  <c r="F53" i="27"/>
  <c r="F49" i="27"/>
  <c r="F23" i="26"/>
  <c r="F26" i="26"/>
  <c r="F24" i="26"/>
  <c r="G42" i="19"/>
  <c r="G16" i="22"/>
  <c r="G15" i="20"/>
  <c r="G32" i="9"/>
  <c r="G31" i="22"/>
  <c r="F46" i="28"/>
  <c r="G50" i="9"/>
  <c r="G54" i="20"/>
  <c r="G37" i="9"/>
  <c r="F41" i="24"/>
  <c r="F42" i="24"/>
  <c r="F52" i="24"/>
  <c r="F21" i="24"/>
  <c r="G36" i="20"/>
  <c r="G40" i="20"/>
  <c r="G53" i="20"/>
  <c r="G28" i="9"/>
  <c r="G49" i="9"/>
  <c r="G25" i="9"/>
  <c r="G19" i="9"/>
  <c r="G29" i="19"/>
  <c r="G53" i="19"/>
  <c r="G39" i="19"/>
  <c r="G29" i="22"/>
  <c r="G28" i="22"/>
  <c r="G19" i="22"/>
  <c r="G24" i="22"/>
  <c r="F24" i="29"/>
  <c r="F46" i="29"/>
  <c r="F47" i="29"/>
  <c r="G29" i="23"/>
  <c r="G48" i="23"/>
  <c r="G49" i="23"/>
  <c r="G17" i="23"/>
  <c r="G53" i="21"/>
  <c r="G40" i="21"/>
  <c r="G34" i="21"/>
  <c r="F21" i="28"/>
  <c r="F44" i="28"/>
  <c r="F53" i="28"/>
  <c r="F33" i="28"/>
  <c r="F38" i="25"/>
  <c r="F22" i="25"/>
  <c r="F48" i="25"/>
  <c r="F54" i="27"/>
  <c r="F26" i="27"/>
  <c r="F51" i="27"/>
  <c r="F50" i="27"/>
  <c r="F47" i="26"/>
  <c r="F29" i="26"/>
  <c r="F21" i="26"/>
  <c r="G38" i="19"/>
  <c r="F49" i="29"/>
  <c r="G28" i="23"/>
  <c r="G22" i="21"/>
  <c r="G41" i="21"/>
  <c r="F48" i="28"/>
  <c r="F19" i="25"/>
  <c r="F52" i="27"/>
  <c r="F20" i="26"/>
  <c r="F46" i="24"/>
  <c r="F38" i="24"/>
  <c r="F49" i="24"/>
  <c r="G31" i="20"/>
  <c r="G24" i="20"/>
  <c r="G21" i="19"/>
  <c r="F25" i="24"/>
  <c r="G25" i="20"/>
  <c r="G39" i="20"/>
  <c r="G46" i="9"/>
  <c r="G40" i="9"/>
  <c r="G50" i="19"/>
  <c r="G16" i="19"/>
  <c r="G27" i="19"/>
  <c r="G15" i="22"/>
  <c r="G38" i="22"/>
  <c r="G37" i="22"/>
  <c r="F29" i="29"/>
  <c r="F41" i="29"/>
  <c r="G45" i="23"/>
  <c r="G30" i="21"/>
  <c r="F45" i="28"/>
  <c r="F24" i="28"/>
  <c r="F46" i="25"/>
  <c r="F25" i="25"/>
  <c r="F47" i="27"/>
  <c r="F19" i="27"/>
  <c r="F28" i="27"/>
  <c r="F49" i="26"/>
  <c r="F35" i="26"/>
  <c r="F50" i="24"/>
  <c r="G34" i="20"/>
  <c r="G49" i="20"/>
  <c r="G17" i="20"/>
  <c r="G30" i="9"/>
  <c r="G41" i="9"/>
  <c r="G52" i="9"/>
  <c r="G22" i="9"/>
  <c r="G54" i="19"/>
  <c r="G35" i="19"/>
  <c r="G33" i="19"/>
  <c r="G36" i="22"/>
  <c r="G18" i="22"/>
  <c r="G21" i="22"/>
  <c r="F40" i="29"/>
  <c r="F48" i="29"/>
  <c r="F18" i="29"/>
  <c r="G38" i="23"/>
  <c r="G42" i="23"/>
  <c r="G16" i="23"/>
  <c r="G50" i="21"/>
  <c r="G31" i="21"/>
  <c r="G37" i="21"/>
  <c r="F15" i="28"/>
  <c r="F51" i="28"/>
  <c r="F47" i="28"/>
  <c r="F32" i="25"/>
  <c r="F44" i="25"/>
  <c r="F27" i="25"/>
  <c r="F34" i="27"/>
  <c r="F36" i="27"/>
  <c r="F39" i="27"/>
  <c r="F28" i="26"/>
  <c r="F52" i="26"/>
  <c r="F40" i="26"/>
  <c r="F39" i="24"/>
  <c r="G24" i="9"/>
  <c r="F23" i="24"/>
  <c r="G21" i="20"/>
  <c r="G43" i="9"/>
  <c r="G20" i="22"/>
  <c r="F18" i="25"/>
  <c r="F37" i="26"/>
  <c r="G33" i="9"/>
  <c r="G30" i="19"/>
  <c r="F44" i="24"/>
  <c r="F24" i="24"/>
  <c r="F43" i="24"/>
  <c r="F48" i="24"/>
  <c r="F27" i="24"/>
  <c r="G37" i="20"/>
  <c r="G35" i="9"/>
  <c r="G42" i="9"/>
  <c r="G34" i="22"/>
  <c r="F28" i="29"/>
  <c r="G19" i="23"/>
  <c r="G18" i="23"/>
  <c r="G47" i="23"/>
  <c r="G52" i="21"/>
  <c r="G47" i="21"/>
  <c r="F19" i="28"/>
  <c r="F36" i="28"/>
  <c r="F39" i="25"/>
  <c r="F24" i="27"/>
  <c r="F31" i="26"/>
  <c r="F40" i="24"/>
  <c r="F17" i="24"/>
  <c r="F30" i="24"/>
  <c r="F15" i="24"/>
  <c r="F26" i="24"/>
  <c r="G42" i="20"/>
  <c r="G32" i="20"/>
  <c r="G22" i="20"/>
  <c r="G31" i="9"/>
  <c r="G29" i="9"/>
  <c r="G44" i="9"/>
  <c r="G15" i="9"/>
  <c r="G36" i="19"/>
  <c r="G37" i="19"/>
  <c r="G41" i="19"/>
  <c r="G47" i="22"/>
  <c r="G22" i="22"/>
  <c r="G35" i="22"/>
  <c r="F35" i="29"/>
  <c r="F27" i="29"/>
  <c r="F25" i="29"/>
  <c r="G26" i="23"/>
  <c r="G50" i="23"/>
  <c r="G43" i="23"/>
  <c r="G49" i="21"/>
  <c r="G32" i="21"/>
  <c r="G15" i="21"/>
  <c r="F20" i="28"/>
  <c r="F34" i="28"/>
  <c r="F18" i="28"/>
  <c r="F29" i="25"/>
  <c r="F49" i="25"/>
  <c r="F34" i="25"/>
  <c r="F37" i="27"/>
  <c r="F32" i="27"/>
  <c r="F31" i="27"/>
  <c r="F15" i="26"/>
  <c r="F16" i="26"/>
  <c r="F33" i="26"/>
  <c r="F22" i="24"/>
  <c r="G44" i="20"/>
  <c r="G20" i="20"/>
  <c r="G27" i="9"/>
  <c r="G26" i="9"/>
  <c r="G20" i="9"/>
  <c r="G42" i="22"/>
  <c r="F45" i="29"/>
  <c r="F28" i="24"/>
  <c r="G51" i="20"/>
  <c r="G47" i="20"/>
  <c r="G50" i="20"/>
  <c r="G51" i="9"/>
  <c r="G53" i="9"/>
  <c r="G43" i="19"/>
  <c r="G45" i="19"/>
  <c r="G45" i="22"/>
  <c r="G23" i="22"/>
  <c r="G44" i="22"/>
  <c r="F17" i="29"/>
  <c r="F22" i="29"/>
  <c r="F30" i="29"/>
  <c r="G25" i="23"/>
  <c r="G44" i="23"/>
  <c r="G34" i="23"/>
  <c r="G46" i="21"/>
  <c r="G44" i="21"/>
  <c r="G27" i="21"/>
  <c r="G39" i="21"/>
  <c r="F42" i="28"/>
  <c r="F29" i="28"/>
  <c r="F38" i="28"/>
  <c r="F16" i="25"/>
  <c r="F42" i="25"/>
  <c r="F41" i="25"/>
  <c r="F35" i="27"/>
  <c r="F44" i="27"/>
  <c r="F45" i="27"/>
  <c r="F42" i="26"/>
  <c r="F18" i="26"/>
  <c r="F45" i="26"/>
  <c r="F27" i="26"/>
  <c r="G31" i="19"/>
  <c r="F34" i="24"/>
  <c r="G22" i="19"/>
  <c r="G24" i="23"/>
  <c r="G17" i="21"/>
  <c r="F52" i="28"/>
  <c r="F54" i="25"/>
  <c r="F17" i="27"/>
  <c r="F36" i="24"/>
  <c r="F37" i="24"/>
  <c r="G48" i="20"/>
  <c r="G47" i="9"/>
  <c r="G19" i="19"/>
  <c r="G28" i="19"/>
  <c r="F50" i="29"/>
  <c r="F30" i="25"/>
  <c r="F54" i="24"/>
  <c r="F53" i="24"/>
  <c r="F45" i="24"/>
  <c r="G46" i="20"/>
  <c r="G18" i="20"/>
  <c r="G23" i="20"/>
  <c r="G35" i="20"/>
  <c r="G16" i="9"/>
  <c r="G21" i="9"/>
  <c r="G17" i="9"/>
  <c r="G46" i="19"/>
  <c r="G26" i="19"/>
  <c r="G25" i="19"/>
  <c r="G15" i="19"/>
  <c r="G39" i="22"/>
  <c r="G17" i="22"/>
  <c r="G26" i="22"/>
  <c r="F38" i="29"/>
  <c r="F19" i="29"/>
  <c r="F37" i="29"/>
  <c r="F42" i="29"/>
  <c r="G41" i="23"/>
  <c r="G39" i="23"/>
  <c r="G33" i="23"/>
  <c r="G25" i="21"/>
  <c r="G33" i="21"/>
  <c r="G43" i="21"/>
  <c r="G21" i="21"/>
  <c r="F40" i="28"/>
  <c r="F41" i="28"/>
  <c r="F22" i="28"/>
  <c r="F35" i="25"/>
  <c r="F20" i="25"/>
  <c r="F28" i="25"/>
  <c r="F26" i="25"/>
  <c r="F18" i="27"/>
  <c r="F33" i="27"/>
  <c r="F42" i="27"/>
  <c r="F46" i="26"/>
  <c r="F43" i="26"/>
  <c r="F36" i="26"/>
  <c r="F19" i="26"/>
  <c r="G17" i="19"/>
  <c r="G54" i="22"/>
  <c r="F23" i="29"/>
  <c r="G28" i="20"/>
  <c r="F31" i="24"/>
  <c r="F16" i="24"/>
  <c r="F35" i="24"/>
  <c r="G38" i="20"/>
  <c r="G30" i="20"/>
  <c r="G16" i="20"/>
  <c r="G41" i="20"/>
  <c r="G36" i="9"/>
  <c r="G38" i="9"/>
  <c r="G47" i="19"/>
  <c r="G23" i="19"/>
  <c r="G32" i="19"/>
  <c r="G44" i="19"/>
  <c r="G41" i="22"/>
  <c r="G53" i="22"/>
  <c r="G51" i="22"/>
  <c r="F15" i="29"/>
  <c r="F31" i="29"/>
  <c r="F44" i="29"/>
  <c r="F33" i="29"/>
  <c r="G20" i="23"/>
  <c r="G30" i="23"/>
  <c r="G36" i="23"/>
  <c r="G18" i="21"/>
  <c r="G29" i="21"/>
  <c r="G20" i="21"/>
  <c r="G45" i="21"/>
  <c r="F35" i="28"/>
  <c r="F17" i="28"/>
  <c r="F39" i="28"/>
  <c r="F24" i="25"/>
  <c r="F45" i="25"/>
  <c r="F36" i="25"/>
  <c r="F37" i="25"/>
  <c r="F29" i="27"/>
  <c r="F41" i="27"/>
  <c r="F38" i="27"/>
  <c r="F17" i="26"/>
  <c r="F22" i="26"/>
  <c r="F48" i="26"/>
  <c r="F25" i="26"/>
  <c r="F32" i="24"/>
  <c r="G52" i="20"/>
  <c r="G20" i="19"/>
  <c r="G50" i="22"/>
  <c r="F26" i="29"/>
  <c r="F43" i="29"/>
  <c r="F20" i="29"/>
  <c r="G40" i="23"/>
  <c r="G52" i="23"/>
  <c r="G51" i="23"/>
  <c r="G48" i="21"/>
  <c r="G16" i="21"/>
  <c r="G51" i="21"/>
  <c r="G42" i="21"/>
  <c r="F30" i="28"/>
  <c r="F28" i="28"/>
  <c r="F31" i="28"/>
  <c r="F31" i="25"/>
  <c r="F33" i="25"/>
  <c r="F47" i="25"/>
  <c r="F51" i="25"/>
  <c r="F43" i="27"/>
  <c r="F46" i="27"/>
  <c r="F22" i="27"/>
  <c r="F54" i="26"/>
  <c r="F38" i="26"/>
  <c r="F34" i="26"/>
  <c r="F51" i="26"/>
  <c r="F19" i="24"/>
  <c r="F18" i="24"/>
  <c r="F20" i="24"/>
  <c r="G26" i="20"/>
  <c r="G43" i="20"/>
  <c r="G27" i="20"/>
  <c r="G18" i="9"/>
  <c r="G45" i="9"/>
  <c r="G23" i="9"/>
  <c r="G34" i="19"/>
  <c r="G18" i="19"/>
  <c r="G51" i="19"/>
  <c r="G40" i="22"/>
  <c r="G32" i="22"/>
  <c r="G52" i="22"/>
  <c r="F51" i="29"/>
  <c r="F39" i="29"/>
  <c r="F52" i="29"/>
  <c r="G35" i="23"/>
  <c r="G15" i="23"/>
  <c r="G31" i="23"/>
  <c r="G24" i="21"/>
  <c r="G26" i="21"/>
  <c r="G54" i="21"/>
  <c r="F50" i="28"/>
  <c r="F37" i="28"/>
  <c r="F49" i="28"/>
  <c r="F15" i="25"/>
  <c r="F21" i="25"/>
  <c r="F43" i="25"/>
  <c r="F40" i="27"/>
  <c r="F25" i="27"/>
  <c r="F21" i="27"/>
  <c r="F44" i="26"/>
  <c r="F32" i="26"/>
  <c r="F50" i="26"/>
  <c r="F30" i="26"/>
  <c r="I11" i="9"/>
  <c r="H12" i="9"/>
  <c r="H11" i="26"/>
  <c r="G12" i="26"/>
  <c r="H11" i="25"/>
  <c r="G12" i="25"/>
  <c r="H12" i="22"/>
  <c r="I11" i="22"/>
  <c r="H12" i="23"/>
  <c r="I11" i="23"/>
  <c r="G12" i="28"/>
  <c r="H11" i="28"/>
  <c r="G12" i="29"/>
  <c r="H11" i="29"/>
  <c r="G12" i="24"/>
  <c r="H11" i="24"/>
  <c r="G12" i="27"/>
  <c r="H11" i="27"/>
  <c r="I11" i="19"/>
  <c r="H12" i="19"/>
  <c r="I11" i="21"/>
  <c r="H12" i="21"/>
  <c r="H12" i="20"/>
  <c r="I11" i="20"/>
  <c r="H15" i="9" a="1"/>
  <c r="H24" i="9" a="1"/>
  <c r="H52" i="9" a="1"/>
  <c r="H41" i="9" a="1"/>
  <c r="G44" i="26" a="1"/>
  <c r="G47" i="26" a="1"/>
  <c r="G20" i="26" a="1"/>
  <c r="G44" i="25" a="1"/>
  <c r="G17" i="25" a="1"/>
  <c r="G42" i="25" a="1"/>
  <c r="H19" i="22" a="1"/>
  <c r="H41" i="22" a="1"/>
  <c r="H32" i="22" a="1"/>
  <c r="H50" i="23" a="1"/>
  <c r="H53" i="23" a="1"/>
  <c r="H52" i="23" a="1"/>
  <c r="G16" i="28" a="1"/>
  <c r="G30" i="28" a="1"/>
  <c r="G30" i="29" a="1"/>
  <c r="G35" i="29" a="1"/>
  <c r="G23" i="24" a="1"/>
  <c r="G15" i="27" a="1"/>
  <c r="G54" i="27" a="1"/>
  <c r="G35" i="27" a="1"/>
  <c r="H54" i="19" a="1"/>
  <c r="H31" i="21" a="1"/>
  <c r="H50" i="20" a="1"/>
  <c r="G32" i="28" a="1"/>
  <c r="G24" i="29" a="1"/>
  <c r="G49" i="24" a="1"/>
  <c r="G46" i="27" a="1"/>
  <c r="G53" i="27" a="1"/>
  <c r="H32" i="19" a="1"/>
  <c r="H53" i="19" a="1"/>
  <c r="H43" i="21" a="1"/>
  <c r="H29" i="20" a="1"/>
  <c r="H30" i="20" a="1"/>
  <c r="H45" i="9" a="1"/>
  <c r="H43" i="9" a="1"/>
  <c r="H31" i="9" a="1"/>
  <c r="G42" i="26" a="1"/>
  <c r="G24" i="26" a="1"/>
  <c r="G49" i="26" a="1"/>
  <c r="G36" i="25" a="1"/>
  <c r="G39" i="25" a="1"/>
  <c r="G48" i="25" a="1"/>
  <c r="H30" i="22" a="1"/>
  <c r="H44" i="22" a="1"/>
  <c r="H53" i="22" a="1"/>
  <c r="H34" i="23" a="1"/>
  <c r="H42" i="23" a="1"/>
  <c r="H35" i="23" a="1"/>
  <c r="G41" i="28" a="1"/>
  <c r="G22" i="29" a="1"/>
  <c r="G51" i="24" a="1"/>
  <c r="H24" i="19" a="1"/>
  <c r="H27" i="21" a="1"/>
  <c r="H22" i="9" a="1"/>
  <c r="H37" i="9" a="1"/>
  <c r="H32" i="9" a="1"/>
  <c r="G34" i="26" a="1"/>
  <c r="G53" i="25" a="1"/>
  <c r="H39" i="23" a="1"/>
  <c r="G47" i="29" a="1"/>
  <c r="G31" i="27" a="1"/>
  <c r="H15" i="19" a="1"/>
  <c r="H53" i="21" a="1"/>
  <c r="H27" i="9" a="1"/>
  <c r="H30" i="9" a="1"/>
  <c r="H44" i="9" a="1"/>
  <c r="H28" i="9" a="1"/>
  <c r="G38" i="26" a="1"/>
  <c r="G32" i="26" a="1"/>
  <c r="G40" i="26" a="1"/>
  <c r="G52" i="25" a="1"/>
  <c r="G19" i="25" a="1"/>
  <c r="G38" i="25" a="1"/>
  <c r="G27" i="25" a="1"/>
  <c r="H21" i="22" a="1"/>
  <c r="H15" i="22" a="1"/>
  <c r="H33" i="22" a="1"/>
  <c r="H26" i="23" a="1"/>
  <c r="H47" i="23" a="1"/>
  <c r="H45" i="23" a="1"/>
  <c r="H32" i="23" a="1"/>
  <c r="G36" i="28" a="1"/>
  <c r="G25" i="28" a="1"/>
  <c r="G52" i="28" a="1"/>
  <c r="G45" i="29" a="1"/>
  <c r="G52" i="29" a="1"/>
  <c r="G26" i="29" a="1"/>
  <c r="G33" i="29" a="1"/>
  <c r="G27" i="24" a="1"/>
  <c r="G43" i="24" a="1"/>
  <c r="G39" i="24" a="1"/>
  <c r="G30" i="27" a="1"/>
  <c r="G32" i="27" a="1"/>
  <c r="G24" i="27" a="1"/>
  <c r="G20" i="27" a="1"/>
  <c r="H28" i="19" a="1"/>
  <c r="H35" i="19" a="1"/>
  <c r="H18" i="19" a="1"/>
  <c r="H41" i="21" a="1"/>
  <c r="H44" i="21" a="1"/>
  <c r="H52" i="21" a="1"/>
  <c r="H42" i="21" a="1"/>
  <c r="H20" i="20" a="1"/>
  <c r="H28" i="20" a="1"/>
  <c r="H27" i="20" a="1"/>
  <c r="H29" i="9" a="1"/>
  <c r="H19" i="9" a="1"/>
  <c r="H20" i="9" a="1"/>
  <c r="G23" i="26" a="1"/>
  <c r="G32" i="25" a="1"/>
  <c r="H39" i="22" a="1"/>
  <c r="H54" i="23" a="1"/>
  <c r="G39" i="28" a="1"/>
  <c r="G38" i="29" a="1"/>
  <c r="G34" i="24" a="1"/>
  <c r="G18" i="27" a="1"/>
  <c r="G21" i="27" a="1"/>
  <c r="H41" i="19" a="1"/>
  <c r="H32" i="21" a="1"/>
  <c r="H35" i="20" a="1"/>
  <c r="H43" i="20" a="1"/>
  <c r="G54" i="25" a="1"/>
  <c r="G46" i="25" a="1"/>
  <c r="H48" i="22" a="1"/>
  <c r="H28" i="22" a="1"/>
  <c r="H23" i="22" a="1"/>
  <c r="H40" i="23" a="1"/>
  <c r="G29" i="28" a="1"/>
  <c r="G50" i="28" a="1"/>
  <c r="G31" i="29" a="1"/>
  <c r="G31" i="24" a="1"/>
  <c r="G40" i="27" a="1"/>
  <c r="G33" i="27" a="1"/>
  <c r="H43" i="19" a="1"/>
  <c r="H51" i="19" a="1"/>
  <c r="H24" i="21" a="1"/>
  <c r="H25" i="21" a="1"/>
  <c r="H49" i="20" a="1"/>
  <c r="H42" i="20" a="1"/>
  <c r="G17" i="26" a="1"/>
  <c r="H24" i="22" a="1"/>
  <c r="G45" i="27" a="1"/>
  <c r="H26" i="21" a="1"/>
  <c r="H45" i="20" a="1"/>
  <c r="H47" i="9" a="1"/>
  <c r="G25" i="26" a="1"/>
  <c r="G39" i="26" a="1"/>
  <c r="G34" i="25" a="1"/>
  <c r="G31" i="25" a="1"/>
  <c r="G35" i="25" a="1"/>
  <c r="H26" i="22" a="1"/>
  <c r="H37" i="22" a="1"/>
  <c r="H28" i="23" a="1"/>
  <c r="H21" i="23" a="1"/>
  <c r="H20" i="23" a="1"/>
  <c r="G53" i="28" a="1"/>
  <c r="G44" i="28" a="1"/>
  <c r="G36" i="29" a="1"/>
  <c r="G19" i="29" a="1"/>
  <c r="G53" i="29" a="1"/>
  <c r="G37" i="24" a="1"/>
  <c r="G35" i="24" a="1"/>
  <c r="G19" i="27" a="1"/>
  <c r="G26" i="27" a="1"/>
  <c r="H39" i="19" a="1"/>
  <c r="H37" i="19" a="1"/>
  <c r="H45" i="21" a="1"/>
  <c r="H29" i="21" a="1"/>
  <c r="H39" i="21" a="1"/>
  <c r="H39" i="20" a="1"/>
  <c r="G33" i="25" a="1"/>
  <c r="H33" i="23" a="1"/>
  <c r="H16" i="23" a="1"/>
  <c r="H31" i="23" a="1"/>
  <c r="G20" i="28" a="1"/>
  <c r="G40" i="29" a="1"/>
  <c r="G25" i="29" a="1"/>
  <c r="G15" i="29" a="1"/>
  <c r="G46" i="24" a="1"/>
  <c r="G15" i="24" a="1"/>
  <c r="G51" i="27" a="1"/>
  <c r="G43" i="27" a="1"/>
  <c r="H50" i="19" a="1"/>
  <c r="H33" i="21" a="1"/>
  <c r="H20" i="21" a="1"/>
  <c r="H24" i="20" a="1"/>
  <c r="H38" i="22" a="1"/>
  <c r="G28" i="28" a="1"/>
  <c r="G51" i="29" a="1"/>
  <c r="H18" i="9" a="1"/>
  <c r="H26" i="9" a="1"/>
  <c r="H40" i="9" a="1"/>
  <c r="H54" i="9" a="1"/>
  <c r="G22" i="26" a="1"/>
  <c r="G41" i="26" a="1"/>
  <c r="G21" i="26" a="1"/>
  <c r="G23" i="25" a="1"/>
  <c r="H50" i="22" a="1"/>
  <c r="G48" i="29" a="1"/>
  <c r="G50" i="24" a="1"/>
  <c r="H46" i="19" a="1"/>
  <c r="H42" i="9" a="1"/>
  <c r="H38" i="9" a="1"/>
  <c r="H48" i="9" a="1"/>
  <c r="G31" i="26" a="1"/>
  <c r="G30" i="26" a="1"/>
  <c r="G54" i="26" a="1"/>
  <c r="G25" i="25" a="1"/>
  <c r="G18" i="25" a="1"/>
  <c r="G29" i="25" a="1"/>
  <c r="H51" i="22" a="1"/>
  <c r="H27" i="22" a="1"/>
  <c r="H16" i="22" a="1"/>
  <c r="H15" i="23" a="1"/>
  <c r="H24" i="23" a="1"/>
  <c r="H29" i="23" a="1"/>
  <c r="G21" i="28" a="1"/>
  <c r="G42" i="28" a="1"/>
  <c r="G15" i="28" a="1"/>
  <c r="G37" i="29" a="1"/>
  <c r="G16" i="29" a="1"/>
  <c r="G43" i="29" a="1"/>
  <c r="G18" i="24" a="1"/>
  <c r="G29" i="24" a="1"/>
  <c r="G53" i="24" a="1"/>
  <c r="G39" i="27" a="1"/>
  <c r="G25" i="27" a="1"/>
  <c r="G50" i="27" a="1"/>
  <c r="H45" i="19" a="1"/>
  <c r="H26" i="19" a="1"/>
  <c r="H25" i="19" a="1"/>
  <c r="H37" i="21" a="1"/>
  <c r="H49" i="21" a="1"/>
  <c r="H54" i="21" a="1"/>
  <c r="H19" i="20" a="1"/>
  <c r="H37" i="20" a="1"/>
  <c r="H26" i="20" a="1"/>
  <c r="H44" i="23" a="1"/>
  <c r="H43" i="23" a="1"/>
  <c r="G45" i="28" a="1"/>
  <c r="G51" i="28" a="1"/>
  <c r="G31" i="28" a="1"/>
  <c r="G41" i="29" a="1"/>
  <c r="G39" i="29" a="1"/>
  <c r="G21" i="29" a="1"/>
  <c r="G24" i="24" a="1"/>
  <c r="G36" i="24" a="1"/>
  <c r="G48" i="24" a="1"/>
  <c r="G38" i="27" a="1"/>
  <c r="G16" i="27" a="1"/>
  <c r="G44" i="27" a="1"/>
  <c r="H27" i="19" a="1"/>
  <c r="H16" i="19" a="1"/>
  <c r="H30" i="19" a="1"/>
  <c r="H34" i="21" a="1"/>
  <c r="H21" i="21" a="1"/>
  <c r="H40" i="21" a="1"/>
  <c r="H44" i="20" a="1"/>
  <c r="H33" i="20" a="1"/>
  <c r="H54" i="20" a="1"/>
  <c r="H33" i="9" a="1"/>
  <c r="H53" i="9" a="1"/>
  <c r="G46" i="26" a="1"/>
  <c r="G37" i="26" a="1"/>
  <c r="G45" i="26" a="1"/>
  <c r="G19" i="26" a="1"/>
  <c r="G24" i="25" a="1"/>
  <c r="H54" i="22" a="1"/>
  <c r="H43" i="22" a="1"/>
  <c r="H30" i="23" a="1"/>
  <c r="G48" i="28" a="1"/>
  <c r="G27" i="28" a="1"/>
  <c r="G32" i="29" a="1"/>
  <c r="G54" i="24" a="1"/>
  <c r="G48" i="27" a="1"/>
  <c r="H21" i="19" a="1"/>
  <c r="H46" i="21" a="1"/>
  <c r="H38" i="20" a="1"/>
  <c r="H25" i="20" a="1"/>
  <c r="G45" i="25" a="1"/>
  <c r="H22" i="23" a="1"/>
  <c r="G54" i="28" a="1"/>
  <c r="G27" i="29" a="1"/>
  <c r="G17" i="24" a="1"/>
  <c r="G17" i="27" a="1"/>
  <c r="H49" i="19" a="1"/>
  <c r="H22" i="20" a="1"/>
  <c r="H25" i="9" a="1"/>
  <c r="H21" i="9" a="1"/>
  <c r="H34" i="9" a="1"/>
  <c r="G35" i="26" a="1"/>
  <c r="G28" i="26" a="1"/>
  <c r="G50" i="26" a="1"/>
  <c r="G47" i="25" a="1"/>
  <c r="G40" i="25" a="1"/>
  <c r="G50" i="25" a="1"/>
  <c r="H45" i="22" a="1"/>
  <c r="H49" i="22" a="1"/>
  <c r="H20" i="22" a="1"/>
  <c r="H27" i="23" a="1"/>
  <c r="H36" i="9" a="1"/>
  <c r="G30" i="25" a="1"/>
  <c r="G28" i="25" a="1"/>
  <c r="H40" i="22" a="1"/>
  <c r="H18" i="23" a="1"/>
  <c r="H41" i="23" a="1"/>
  <c r="G37" i="28" a="1"/>
  <c r="G22" i="28" a="1"/>
  <c r="G28" i="29" a="1"/>
  <c r="G28" i="24" a="1"/>
  <c r="G25" i="24" a="1"/>
  <c r="G45" i="24" a="1"/>
  <c r="G42" i="27" a="1"/>
  <c r="H20" i="19" a="1"/>
  <c r="H17" i="19" a="1"/>
  <c r="H22" i="21" a="1"/>
  <c r="H18" i="21" a="1"/>
  <c r="H41" i="20" a="1"/>
  <c r="G20" i="25" a="1"/>
  <c r="G41" i="24" a="1"/>
  <c r="H19" i="21" a="1"/>
  <c r="H16" i="9" a="1"/>
  <c r="H50" i="9" a="1"/>
  <c r="H49" i="9" a="1"/>
  <c r="G16" i="26" a="1"/>
  <c r="G53" i="26" a="1"/>
  <c r="G15" i="26" a="1"/>
  <c r="G27" i="26" a="1"/>
  <c r="G49" i="25" a="1"/>
  <c r="G16" i="25" a="1"/>
  <c r="G26" i="25" a="1"/>
  <c r="H17" i="22" a="1"/>
  <c r="H35" i="22" a="1"/>
  <c r="H47" i="22" a="1"/>
  <c r="H25" i="22" a="1"/>
  <c r="H19" i="23" a="1"/>
  <c r="H49" i="23" a="1"/>
  <c r="H23" i="23" a="1"/>
  <c r="G17" i="28" a="1"/>
  <c r="G49" i="28" a="1"/>
  <c r="G40" i="28" a="1"/>
  <c r="G38" i="28" a="1"/>
  <c r="G54" i="29" a="1"/>
  <c r="G23" i="29" a="1"/>
  <c r="G49" i="29" a="1"/>
  <c r="G19" i="24" a="1"/>
  <c r="G47" i="24" a="1"/>
  <c r="G30" i="24" a="1"/>
  <c r="G20" i="24" a="1"/>
  <c r="G34" i="27" a="1"/>
  <c r="G29" i="27" a="1"/>
  <c r="G52" i="27" a="1"/>
  <c r="H42" i="19" a="1"/>
  <c r="H36" i="19" a="1"/>
  <c r="H23" i="19" a="1"/>
  <c r="H40" i="19" a="1"/>
  <c r="H38" i="21" a="1"/>
  <c r="H16" i="21" a="1"/>
  <c r="H15" i="21" a="1"/>
  <c r="H31" i="20" a="1"/>
  <c r="H23" i="20" a="1"/>
  <c r="H52" i="20" a="1"/>
  <c r="H48" i="20" a="1"/>
  <c r="H36" i="22" a="1"/>
  <c r="G34" i="29" a="1"/>
  <c r="G28" i="27" a="1"/>
  <c r="H52" i="19" a="1"/>
  <c r="H32" i="20" a="1"/>
  <c r="G51" i="25" a="1"/>
  <c r="H25" i="23" a="1"/>
  <c r="H47" i="21" a="1"/>
  <c r="H17" i="9" a="1"/>
  <c r="H39" i="9" a="1"/>
  <c r="H51" i="9" a="1"/>
  <c r="G51" i="26" a="1"/>
  <c r="G26" i="26" a="1"/>
  <c r="G36" i="26" a="1"/>
  <c r="G48" i="26" a="1"/>
  <c r="G21" i="25" a="1"/>
  <c r="G37" i="25" a="1"/>
  <c r="G22" i="25" a="1"/>
  <c r="H52" i="22" a="1"/>
  <c r="H31" i="22" a="1"/>
  <c r="H46" i="22" a="1"/>
  <c r="H42" i="22" a="1"/>
  <c r="H17" i="23" a="1"/>
  <c r="H36" i="23" a="1"/>
  <c r="H38" i="23" a="1"/>
  <c r="G35" i="28" a="1"/>
  <c r="G23" i="28" a="1"/>
  <c r="G26" i="28" a="1"/>
  <c r="G47" i="28" a="1"/>
  <c r="G17" i="29" a="1"/>
  <c r="G44" i="29" a="1"/>
  <c r="G42" i="29" a="1"/>
  <c r="G21" i="24" a="1"/>
  <c r="G42" i="24" a="1"/>
  <c r="G22" i="24" a="1"/>
  <c r="G32" i="24" a="1"/>
  <c r="G37" i="27" a="1"/>
  <c r="G47" i="27" a="1"/>
  <c r="G27" i="27" a="1"/>
  <c r="H19" i="19" a="1"/>
  <c r="H31" i="19" a="1"/>
  <c r="H29" i="19" a="1"/>
  <c r="H34" i="19" a="1"/>
  <c r="H48" i="21" a="1"/>
  <c r="H51" i="21" a="1"/>
  <c r="H17" i="21" a="1"/>
  <c r="H16" i="20" a="1"/>
  <c r="H21" i="20" a="1"/>
  <c r="H47" i="20" a="1"/>
  <c r="H46" i="20" a="1"/>
  <c r="H46" i="9" a="1"/>
  <c r="H23" i="9" a="1"/>
  <c r="H35" i="9" a="1"/>
  <c r="G52" i="26" a="1"/>
  <c r="G29" i="26" a="1"/>
  <c r="G33" i="26" a="1"/>
  <c r="G18" i="26" a="1"/>
  <c r="G15" i="25" a="1"/>
  <c r="G41" i="25" a="1"/>
  <c r="G43" i="25" a="1"/>
  <c r="H34" i="22" a="1"/>
  <c r="H29" i="22" a="1"/>
  <c r="H18" i="22" a="1"/>
  <c r="H22" i="22" a="1"/>
  <c r="H51" i="23" a="1"/>
  <c r="H37" i="23" a="1"/>
  <c r="H48" i="23" a="1"/>
  <c r="G46" i="28" a="1"/>
  <c r="G34" i="28" a="1"/>
  <c r="G24" i="28" a="1"/>
  <c r="G33" i="28" a="1"/>
  <c r="G18" i="29" a="1"/>
  <c r="G29" i="29" a="1"/>
  <c r="G20" i="29" a="1"/>
  <c r="G16" i="24" a="1"/>
  <c r="G44" i="24" a="1"/>
  <c r="G33" i="24" a="1"/>
  <c r="G52" i="24" a="1"/>
  <c r="G49" i="27" a="1"/>
  <c r="G22" i="27" a="1"/>
  <c r="G23" i="27" a="1"/>
  <c r="H38" i="19" a="1"/>
  <c r="H33" i="19" a="1"/>
  <c r="H22" i="19" a="1"/>
  <c r="H44" i="19" a="1"/>
  <c r="H36" i="21" a="1"/>
  <c r="H30" i="21" a="1"/>
  <c r="H28" i="21" a="1"/>
  <c r="H34" i="20" a="1"/>
  <c r="G38" i="24" a="1"/>
  <c r="H48" i="19" a="1"/>
  <c r="H47" i="19" a="1"/>
  <c r="H23" i="21" a="1"/>
  <c r="H50" i="21" a="1"/>
  <c r="H40" i="20" a="1"/>
  <c r="H51" i="20" a="1"/>
  <c r="G18" i="28" a="1"/>
  <c r="G50" i="29" a="1"/>
  <c r="G40" i="24" a="1"/>
  <c r="H35" i="21" a="1"/>
  <c r="H36" i="20" a="1"/>
  <c r="G43" i="28" a="1"/>
  <c r="G41" i="27" a="1"/>
  <c r="H18" i="20" a="1"/>
  <c r="H15" i="20" a="1"/>
  <c r="H17" i="20" a="1"/>
  <c r="H53" i="20" a="1"/>
  <c r="G19" i="28" a="1"/>
  <c r="G46" i="29" a="1"/>
  <c r="G26" i="24" a="1"/>
  <c r="G36" i="27" a="1"/>
  <c r="G43" i="26" a="1"/>
  <c r="H46" i="23" a="1"/>
  <c r="H46" i="23" l="1"/>
  <c r="G43" i="26"/>
  <c r="G36" i="27"/>
  <c r="G26" i="24"/>
  <c r="G46" i="29"/>
  <c r="G19" i="28"/>
  <c r="H53" i="20"/>
  <c r="H17" i="20"/>
  <c r="H15" i="20"/>
  <c r="H18" i="20"/>
  <c r="G41" i="27"/>
  <c r="G43" i="28"/>
  <c r="H36" i="20"/>
  <c r="H35" i="21"/>
  <c r="G40" i="24"/>
  <c r="G50" i="29"/>
  <c r="G18" i="28"/>
  <c r="H51" i="20"/>
  <c r="H40" i="20"/>
  <c r="H50" i="21"/>
  <c r="H23" i="21"/>
  <c r="H47" i="19"/>
  <c r="H48" i="19"/>
  <c r="G38" i="24"/>
  <c r="H34" i="20"/>
  <c r="H28" i="21"/>
  <c r="H30" i="21"/>
  <c r="H36" i="21"/>
  <c r="H44" i="19"/>
  <c r="H22" i="19"/>
  <c r="H33" i="19"/>
  <c r="H38" i="19"/>
  <c r="G23" i="27"/>
  <c r="G22" i="27"/>
  <c r="G49" i="27"/>
  <c r="G52" i="24"/>
  <c r="G33" i="24"/>
  <c r="G44" i="24"/>
  <c r="G16" i="24"/>
  <c r="G20" i="29"/>
  <c r="G29" i="29"/>
  <c r="G18" i="29"/>
  <c r="G33" i="28"/>
  <c r="G24" i="28"/>
  <c r="G34" i="28"/>
  <c r="G46" i="28"/>
  <c r="H48" i="23"/>
  <c r="H37" i="23"/>
  <c r="H51" i="23"/>
  <c r="H22" i="22"/>
  <c r="H18" i="22"/>
  <c r="H29" i="22"/>
  <c r="H34" i="22"/>
  <c r="G43" i="25"/>
  <c r="G41" i="25"/>
  <c r="G15" i="25"/>
  <c r="G18" i="26"/>
  <c r="G33" i="26"/>
  <c r="G29" i="26"/>
  <c r="G52" i="26"/>
  <c r="H35" i="9"/>
  <c r="H23" i="9"/>
  <c r="H46" i="9"/>
  <c r="H46" i="20"/>
  <c r="H47" i="20"/>
  <c r="H21" i="20"/>
  <c r="H16" i="20"/>
  <c r="H17" i="21"/>
  <c r="H51" i="21"/>
  <c r="H48" i="21"/>
  <c r="H34" i="19"/>
  <c r="H29" i="19"/>
  <c r="H31" i="19"/>
  <c r="H19" i="19"/>
  <c r="G27" i="27"/>
  <c r="G47" i="27"/>
  <c r="G37" i="27"/>
  <c r="G32" i="24"/>
  <c r="G22" i="24"/>
  <c r="G42" i="24"/>
  <c r="G21" i="24"/>
  <c r="G42" i="29"/>
  <c r="G44" i="29"/>
  <c r="G17" i="29"/>
  <c r="G47" i="28"/>
  <c r="G26" i="28"/>
  <c r="G23" i="28"/>
  <c r="G35" i="28"/>
  <c r="H38" i="23"/>
  <c r="H36" i="23"/>
  <c r="H17" i="23"/>
  <c r="H42" i="22"/>
  <c r="H46" i="22"/>
  <c r="H31" i="22"/>
  <c r="H52" i="22"/>
  <c r="G22" i="25"/>
  <c r="G37" i="25"/>
  <c r="G21" i="25"/>
  <c r="G48" i="26"/>
  <c r="G36" i="26"/>
  <c r="G26" i="26"/>
  <c r="G51" i="26"/>
  <c r="H51" i="9"/>
  <c r="H39" i="9"/>
  <c r="H17" i="9"/>
  <c r="H47" i="21"/>
  <c r="H25" i="23"/>
  <c r="G51" i="25"/>
  <c r="H32" i="20"/>
  <c r="H52" i="19"/>
  <c r="G28" i="27"/>
  <c r="G34" i="29"/>
  <c r="H36" i="22"/>
  <c r="H48" i="20"/>
  <c r="H52" i="20"/>
  <c r="H23" i="20"/>
  <c r="H31" i="20"/>
  <c r="H15" i="21"/>
  <c r="H16" i="21"/>
  <c r="H38" i="21"/>
  <c r="H40" i="19"/>
  <c r="H23" i="19"/>
  <c r="H36" i="19"/>
  <c r="H42" i="19"/>
  <c r="G52" i="27"/>
  <c r="G29" i="27"/>
  <c r="G34" i="27"/>
  <c r="G20" i="24"/>
  <c r="G30" i="24"/>
  <c r="G47" i="24"/>
  <c r="G19" i="24"/>
  <c r="G49" i="29"/>
  <c r="G23" i="29"/>
  <c r="G54" i="29"/>
  <c r="G38" i="28"/>
  <c r="G40" i="28"/>
  <c r="G49" i="28"/>
  <c r="G17" i="28"/>
  <c r="H23" i="23"/>
  <c r="H49" i="23"/>
  <c r="H19" i="23"/>
  <c r="H25" i="22"/>
  <c r="H47" i="22"/>
  <c r="H35" i="22"/>
  <c r="H17" i="22"/>
  <c r="G26" i="25"/>
  <c r="G16" i="25"/>
  <c r="G49" i="25"/>
  <c r="G27" i="26"/>
  <c r="G15" i="26"/>
  <c r="G53" i="26"/>
  <c r="G16" i="26"/>
  <c r="H49" i="9"/>
  <c r="H50" i="9"/>
  <c r="H16" i="9"/>
  <c r="H19" i="21"/>
  <c r="G41" i="24"/>
  <c r="G20" i="25"/>
  <c r="H41" i="20"/>
  <c r="H18" i="21"/>
  <c r="H22" i="21"/>
  <c r="H17" i="19"/>
  <c r="H20" i="19"/>
  <c r="G42" i="27"/>
  <c r="G45" i="24"/>
  <c r="G25" i="24"/>
  <c r="G28" i="24"/>
  <c r="G28" i="29"/>
  <c r="G22" i="28"/>
  <c r="G37" i="28"/>
  <c r="H41" i="23"/>
  <c r="H18" i="23"/>
  <c r="H40" i="22"/>
  <c r="G28" i="25"/>
  <c r="G30" i="25"/>
  <c r="H36" i="9"/>
  <c r="H27" i="23"/>
  <c r="H20" i="22"/>
  <c r="H49" i="22"/>
  <c r="H45" i="22"/>
  <c r="G50" i="25"/>
  <c r="G40" i="25"/>
  <c r="G47" i="25"/>
  <c r="G50" i="26"/>
  <c r="G28" i="26"/>
  <c r="G35" i="26"/>
  <c r="H34" i="9"/>
  <c r="H21" i="9"/>
  <c r="H25" i="9"/>
  <c r="H22" i="20"/>
  <c r="H49" i="19"/>
  <c r="G17" i="27"/>
  <c r="G17" i="24"/>
  <c r="G27" i="29"/>
  <c r="G54" i="28"/>
  <c r="H22" i="23"/>
  <c r="G45" i="25"/>
  <c r="H25" i="20"/>
  <c r="H38" i="20"/>
  <c r="H46" i="21"/>
  <c r="H21" i="19"/>
  <c r="G48" i="27"/>
  <c r="G54" i="24"/>
  <c r="G32" i="29"/>
  <c r="G27" i="28"/>
  <c r="G48" i="28"/>
  <c r="H30" i="23"/>
  <c r="H43" i="22"/>
  <c r="H54" i="22"/>
  <c r="G24" i="25"/>
  <c r="G19" i="26"/>
  <c r="G45" i="26"/>
  <c r="G37" i="26"/>
  <c r="G46" i="26"/>
  <c r="H53" i="9"/>
  <c r="H33" i="9"/>
  <c r="H54" i="20"/>
  <c r="H33" i="20"/>
  <c r="H44" i="20"/>
  <c r="H40" i="21"/>
  <c r="H21" i="21"/>
  <c r="H34" i="21"/>
  <c r="H30" i="19"/>
  <c r="H16" i="19"/>
  <c r="H27" i="19"/>
  <c r="G44" i="27"/>
  <c r="G16" i="27"/>
  <c r="G38" i="27"/>
  <c r="G48" i="24"/>
  <c r="G36" i="24"/>
  <c r="G24" i="24"/>
  <c r="G21" i="29"/>
  <c r="G39" i="29"/>
  <c r="G41" i="29"/>
  <c r="G31" i="28"/>
  <c r="G51" i="28"/>
  <c r="G45" i="28"/>
  <c r="H43" i="23"/>
  <c r="H44" i="23"/>
  <c r="H26" i="20"/>
  <c r="H37" i="20"/>
  <c r="H19" i="20"/>
  <c r="H54" i="21"/>
  <c r="H49" i="21"/>
  <c r="H37" i="21"/>
  <c r="H25" i="19"/>
  <c r="H26" i="19"/>
  <c r="H45" i="19"/>
  <c r="G50" i="27"/>
  <c r="G25" i="27"/>
  <c r="G39" i="27"/>
  <c r="G53" i="24"/>
  <c r="G29" i="24"/>
  <c r="G18" i="24"/>
  <c r="G43" i="29"/>
  <c r="G16" i="29"/>
  <c r="G37" i="29"/>
  <c r="G15" i="28"/>
  <c r="G42" i="28"/>
  <c r="G21" i="28"/>
  <c r="H29" i="23"/>
  <c r="H24" i="23"/>
  <c r="H15" i="23"/>
  <c r="H16" i="22"/>
  <c r="H27" i="22"/>
  <c r="H51" i="22"/>
  <c r="G29" i="25"/>
  <c r="G18" i="25"/>
  <c r="G25" i="25"/>
  <c r="G54" i="26"/>
  <c r="G30" i="26"/>
  <c r="G31" i="26"/>
  <c r="H48" i="9"/>
  <c r="H38" i="9"/>
  <c r="H42" i="9"/>
  <c r="H46" i="19"/>
  <c r="G50" i="24"/>
  <c r="G48" i="29"/>
  <c r="H50" i="22"/>
  <c r="G23" i="25"/>
  <c r="G21" i="26"/>
  <c r="G41" i="26"/>
  <c r="G22" i="26"/>
  <c r="H54" i="9"/>
  <c r="H40" i="9"/>
  <c r="H26" i="9"/>
  <c r="H18" i="9"/>
  <c r="G51" i="29"/>
  <c r="G28" i="28"/>
  <c r="H38" i="22"/>
  <c r="H24" i="20"/>
  <c r="H20" i="21"/>
  <c r="H33" i="21"/>
  <c r="H50" i="19"/>
  <c r="G43" i="27"/>
  <c r="G51" i="27"/>
  <c r="G15" i="24"/>
  <c r="G46" i="24"/>
  <c r="G15" i="29"/>
  <c r="G25" i="29"/>
  <c r="G40" i="29"/>
  <c r="G20" i="28"/>
  <c r="H31" i="23"/>
  <c r="H16" i="23"/>
  <c r="H33" i="23"/>
  <c r="G33" i="25"/>
  <c r="H39" i="20"/>
  <c r="H39" i="21"/>
  <c r="H29" i="21"/>
  <c r="H45" i="21"/>
  <c r="H37" i="19"/>
  <c r="H39" i="19"/>
  <c r="G26" i="27"/>
  <c r="G19" i="27"/>
  <c r="G35" i="24"/>
  <c r="G37" i="24"/>
  <c r="G53" i="29"/>
  <c r="G19" i="29"/>
  <c r="G36" i="29"/>
  <c r="G44" i="28"/>
  <c r="G53" i="28"/>
  <c r="H20" i="23"/>
  <c r="H21" i="23"/>
  <c r="H28" i="23"/>
  <c r="H37" i="22"/>
  <c r="H26" i="22"/>
  <c r="G35" i="25"/>
  <c r="G31" i="25"/>
  <c r="G34" i="25"/>
  <c r="G39" i="26"/>
  <c r="G25" i="26"/>
  <c r="H47" i="9"/>
  <c r="H45" i="20"/>
  <c r="H26" i="21"/>
  <c r="G45" i="27"/>
  <c r="H24" i="22"/>
  <c r="G17" i="26"/>
  <c r="H42" i="20"/>
  <c r="H49" i="20"/>
  <c r="H25" i="21"/>
  <c r="H24" i="21"/>
  <c r="H51" i="19"/>
  <c r="H43" i="19"/>
  <c r="G33" i="27"/>
  <c r="G40" i="27"/>
  <c r="G31" i="24"/>
  <c r="G31" i="29"/>
  <c r="G50" i="28"/>
  <c r="G29" i="28"/>
  <c r="H40" i="23"/>
  <c r="H23" i="22"/>
  <c r="H28" i="22"/>
  <c r="H48" i="22"/>
  <c r="G46" i="25"/>
  <c r="G54" i="25"/>
  <c r="H43" i="20"/>
  <c r="H35" i="20"/>
  <c r="H32" i="21"/>
  <c r="H41" i="19"/>
  <c r="G21" i="27"/>
  <c r="G18" i="27"/>
  <c r="G34" i="24"/>
  <c r="G38" i="29"/>
  <c r="G39" i="28"/>
  <c r="H54" i="23"/>
  <c r="H39" i="22"/>
  <c r="G32" i="25"/>
  <c r="G23" i="26"/>
  <c r="H20" i="9"/>
  <c r="H19" i="9"/>
  <c r="H29" i="9"/>
  <c r="H27" i="20"/>
  <c r="H28" i="20"/>
  <c r="H20" i="20"/>
  <c r="H42" i="21"/>
  <c r="H52" i="21"/>
  <c r="H44" i="21"/>
  <c r="H41" i="21"/>
  <c r="H18" i="19"/>
  <c r="H35" i="19"/>
  <c r="H28" i="19"/>
  <c r="G20" i="27"/>
  <c r="G24" i="27"/>
  <c r="G32" i="27"/>
  <c r="G30" i="27"/>
  <c r="G39" i="24"/>
  <c r="G43" i="24"/>
  <c r="G27" i="24"/>
  <c r="G33" i="29"/>
  <c r="G26" i="29"/>
  <c r="G52" i="29"/>
  <c r="G45" i="29"/>
  <c r="G52" i="28"/>
  <c r="G25" i="28"/>
  <c r="G36" i="28"/>
  <c r="H32" i="23"/>
  <c r="H45" i="23"/>
  <c r="H47" i="23"/>
  <c r="H26" i="23"/>
  <c r="H33" i="22"/>
  <c r="H15" i="22"/>
  <c r="H21" i="22"/>
  <c r="G27" i="25"/>
  <c r="G38" i="25"/>
  <c r="G19" i="25"/>
  <c r="G52" i="25"/>
  <c r="G40" i="26"/>
  <c r="G32" i="26"/>
  <c r="G38" i="26"/>
  <c r="H28" i="9"/>
  <c r="H44" i="9"/>
  <c r="H30" i="9"/>
  <c r="H27" i="9"/>
  <c r="H53" i="21"/>
  <c r="H15" i="19"/>
  <c r="G31" i="27"/>
  <c r="G47" i="29"/>
  <c r="H39" i="23"/>
  <c r="G53" i="25"/>
  <c r="G34" i="26"/>
  <c r="H32" i="9"/>
  <c r="H37" i="9"/>
  <c r="H22" i="9"/>
  <c r="H27" i="21"/>
  <c r="H24" i="19"/>
  <c r="G51" i="24"/>
  <c r="G22" i="29"/>
  <c r="G41" i="28"/>
  <c r="H35" i="23"/>
  <c r="H42" i="23"/>
  <c r="H34" i="23"/>
  <c r="H53" i="22"/>
  <c r="H44" i="22"/>
  <c r="H30" i="22"/>
  <c r="G48" i="25"/>
  <c r="G39" i="25"/>
  <c r="G36" i="25"/>
  <c r="G49" i="26"/>
  <c r="G24" i="26"/>
  <c r="G42" i="26"/>
  <c r="H31" i="9"/>
  <c r="H43" i="9"/>
  <c r="H45" i="9"/>
  <c r="H30" i="20"/>
  <c r="H29" i="20"/>
  <c r="H43" i="21"/>
  <c r="H53" i="19"/>
  <c r="H32" i="19"/>
  <c r="G53" i="27"/>
  <c r="G46" i="27"/>
  <c r="G49" i="24"/>
  <c r="G24" i="29"/>
  <c r="G32" i="28"/>
  <c r="H50" i="20"/>
  <c r="H31" i="21"/>
  <c r="H54" i="19"/>
  <c r="G35" i="27"/>
  <c r="G54" i="27"/>
  <c r="G15" i="27"/>
  <c r="G23" i="24"/>
  <c r="G35" i="29"/>
  <c r="G30" i="29"/>
  <c r="G30" i="28"/>
  <c r="G16" i="28"/>
  <c r="H52" i="23"/>
  <c r="H53" i="23"/>
  <c r="H50" i="23"/>
  <c r="H32" i="22"/>
  <c r="H41" i="22"/>
  <c r="H19" i="22"/>
  <c r="G42" i="25"/>
  <c r="G17" i="25"/>
  <c r="G44" i="25"/>
  <c r="G20" i="26"/>
  <c r="G47" i="26"/>
  <c r="G44" i="26"/>
  <c r="H41" i="9"/>
  <c r="H52" i="9"/>
  <c r="H24" i="9"/>
  <c r="H15" i="9"/>
  <c r="I12" i="21"/>
  <c r="J11" i="21"/>
  <c r="I11" i="27"/>
  <c r="H12" i="27"/>
  <c r="I12" i="22"/>
  <c r="J11" i="22"/>
  <c r="I12" i="20"/>
  <c r="J11" i="20"/>
  <c r="H12" i="24"/>
  <c r="I11" i="24"/>
  <c r="I11" i="28"/>
  <c r="H12" i="28"/>
  <c r="J11" i="19"/>
  <c r="I12" i="19"/>
  <c r="I11" i="26"/>
  <c r="H12" i="26"/>
  <c r="H12" i="29"/>
  <c r="I11" i="29"/>
  <c r="I12" i="23"/>
  <c r="J11" i="23"/>
  <c r="I12" i="9"/>
  <c r="J11" i="9"/>
  <c r="H12" i="25"/>
  <c r="I11" i="25"/>
  <c r="I41" i="21" a="1"/>
  <c r="I49" i="21" a="1"/>
  <c r="I44" i="21" a="1"/>
  <c r="H41" i="27" a="1"/>
  <c r="H21" i="27" a="1"/>
  <c r="H27" i="27" a="1"/>
  <c r="I24" i="22" a="1"/>
  <c r="I48" i="22" a="1"/>
  <c r="I26" i="22" a="1"/>
  <c r="I33" i="20" a="1"/>
  <c r="I43" i="20" a="1"/>
  <c r="I45" i="20" a="1"/>
  <c r="H48" i="24" a="1"/>
  <c r="H32" i="24" a="1"/>
  <c r="H52" i="24" a="1"/>
  <c r="H39" i="28" a="1"/>
  <c r="H41" i="28" a="1"/>
  <c r="H30" i="28" a="1"/>
  <c r="I18" i="19" a="1"/>
  <c r="I46" i="19" a="1"/>
  <c r="I40" i="19" a="1"/>
  <c r="H26" i="26" a="1"/>
  <c r="H31" i="26" a="1"/>
  <c r="H47" i="26" a="1"/>
  <c r="H15" i="29" a="1"/>
  <c r="H48" i="29" a="1"/>
  <c r="H41" i="29" a="1"/>
  <c r="I19" i="23" a="1"/>
  <c r="I23" i="23" a="1"/>
  <c r="I15" i="23" a="1"/>
  <c r="I48" i="9" a="1"/>
  <c r="I42" i="9" a="1"/>
  <c r="I25" i="9" a="1"/>
  <c r="I45" i="9" a="1"/>
  <c r="H38" i="25" a="1"/>
  <c r="H37" i="25" a="1"/>
  <c r="H46" i="25" a="1"/>
  <c r="I45" i="23" a="1"/>
  <c r="I19" i="9" a="1"/>
  <c r="I52" i="9" a="1"/>
  <c r="H50" i="25" a="1"/>
  <c r="H24" i="25" a="1"/>
  <c r="H44" i="25" a="1"/>
  <c r="I52" i="21" a="1"/>
  <c r="I50" i="21" a="1"/>
  <c r="I21" i="21" a="1"/>
  <c r="I39" i="21" a="1"/>
  <c r="H40" i="27" a="1"/>
  <c r="H30" i="27" a="1"/>
  <c r="H32" i="27" a="1"/>
  <c r="I35" i="22" a="1"/>
  <c r="I43" i="22" a="1"/>
  <c r="I21" i="22" a="1"/>
  <c r="I31" i="22" a="1"/>
  <c r="I19" i="20" a="1"/>
  <c r="I44" i="20" a="1"/>
  <c r="I26" i="20" a="1"/>
  <c r="H47" i="24" a="1"/>
  <c r="H50" i="24" a="1"/>
  <c r="H25" i="24" a="1"/>
  <c r="H28" i="24" a="1"/>
  <c r="H27" i="28" a="1"/>
  <c r="H21" i="28" a="1"/>
  <c r="H28" i="28" a="1"/>
  <c r="I33" i="19" a="1"/>
  <c r="I36" i="19" a="1"/>
  <c r="I43" i="19" a="1"/>
  <c r="H32" i="26" a="1"/>
  <c r="H38" i="26" a="1"/>
  <c r="H17" i="26" a="1"/>
  <c r="H27" i="29" a="1"/>
  <c r="H19" i="29" a="1"/>
  <c r="H53" i="29" a="1"/>
  <c r="H23" i="29" a="1"/>
  <c r="I34" i="23" a="1"/>
  <c r="I27" i="23" a="1"/>
  <c r="I26" i="9" a="1"/>
  <c r="I32" i="9" a="1"/>
  <c r="H47" i="25" a="1"/>
  <c r="H49" i="25" a="1"/>
  <c r="H30" i="26" a="1"/>
  <c r="H21" i="29" a="1"/>
  <c r="I35" i="9" a="1"/>
  <c r="H20" i="25" a="1"/>
  <c r="I31" i="21" a="1"/>
  <c r="I29" i="21" a="1"/>
  <c r="I37" i="21" a="1"/>
  <c r="H52" i="27" a="1"/>
  <c r="H54" i="27" a="1"/>
  <c r="H25" i="27" a="1"/>
  <c r="I19" i="22" a="1"/>
  <c r="I41" i="22" a="1"/>
  <c r="I16" i="22" a="1"/>
  <c r="I53" i="20" a="1"/>
  <c r="I49" i="20" a="1"/>
  <c r="I42" i="20" a="1"/>
  <c r="H15" i="24" a="1"/>
  <c r="H21" i="24" a="1"/>
  <c r="H54" i="24" a="1"/>
  <c r="H22" i="28" a="1"/>
  <c r="H40" i="28" a="1"/>
  <c r="H44" i="28" a="1"/>
  <c r="I35" i="19" a="1"/>
  <c r="I37" i="19" a="1"/>
  <c r="I38" i="19" a="1"/>
  <c r="H46" i="26" a="1"/>
  <c r="H35" i="26" a="1"/>
  <c r="H39" i="26" a="1"/>
  <c r="H47" i="29" a="1"/>
  <c r="H44" i="29" a="1"/>
  <c r="H29" i="29" a="1"/>
  <c r="I20" i="23" a="1"/>
  <c r="I52" i="23" a="1"/>
  <c r="I37" i="9" a="1"/>
  <c r="I39" i="23" a="1"/>
  <c r="I46" i="9" a="1"/>
  <c r="I51" i="9" a="1"/>
  <c r="H34" i="25" a="1"/>
  <c r="I41" i="23" a="1"/>
  <c r="I31" i="9" a="1"/>
  <c r="H27" i="26" a="1"/>
  <c r="I36" i="23" a="1"/>
  <c r="I26" i="19" a="1"/>
  <c r="H54" i="25" a="1"/>
  <c r="H49" i="29" a="1"/>
  <c r="I17" i="9" a="1"/>
  <c r="H23" i="25" a="1"/>
  <c r="I18" i="21" a="1"/>
  <c r="I22" i="21" a="1"/>
  <c r="I27" i="21" a="1"/>
  <c r="I34" i="21" a="1"/>
  <c r="H46" i="27" a="1"/>
  <c r="H17" i="27" a="1"/>
  <c r="H35" i="27" a="1"/>
  <c r="I15" i="22" a="1"/>
  <c r="I34" i="22" a="1"/>
  <c r="I47" i="22" a="1"/>
  <c r="I49" i="22" a="1"/>
  <c r="I30" i="20" a="1"/>
  <c r="I16" i="20" a="1"/>
  <c r="I24" i="20" a="1"/>
  <c r="H26" i="24" a="1"/>
  <c r="H19" i="24" a="1"/>
  <c r="H16" i="24" a="1"/>
  <c r="H51" i="24" a="1"/>
  <c r="H17" i="28" a="1"/>
  <c r="H37" i="28" a="1"/>
  <c r="H48" i="28" a="1"/>
  <c r="I39" i="19" a="1"/>
  <c r="I28" i="19" a="1"/>
  <c r="I32" i="19" a="1"/>
  <c r="I23" i="19" a="1"/>
  <c r="H41" i="26" a="1"/>
  <c r="H22" i="26" a="1"/>
  <c r="H37" i="26" a="1"/>
  <c r="H17" i="29" a="1"/>
  <c r="H40" i="29" a="1"/>
  <c r="H16" i="29" a="1"/>
  <c r="H25" i="29" a="1"/>
  <c r="I24" i="23" a="1"/>
  <c r="I29" i="23" a="1"/>
  <c r="I50" i="23" a="1"/>
  <c r="I43" i="9" a="1"/>
  <c r="I18" i="9" a="1"/>
  <c r="I34" i="9" a="1"/>
  <c r="I38" i="9" a="1"/>
  <c r="H40" i="25" a="1"/>
  <c r="H52" i="25" a="1"/>
  <c r="H53" i="25" a="1"/>
  <c r="I48" i="21" a="1"/>
  <c r="I17" i="21" a="1"/>
  <c r="I54" i="21" a="1"/>
  <c r="I24" i="21" a="1"/>
  <c r="H31" i="27" a="1"/>
  <c r="H22" i="27" a="1"/>
  <c r="H28" i="27" a="1"/>
  <c r="I39" i="22" a="1"/>
  <c r="I47" i="9" a="1"/>
  <c r="I15" i="20" a="1"/>
  <c r="I21" i="19" a="1"/>
  <c r="H16" i="26" a="1"/>
  <c r="H38" i="29" a="1"/>
  <c r="I17" i="23" a="1"/>
  <c r="I50" i="9" a="1"/>
  <c r="I21" i="23" a="1"/>
  <c r="H43" i="25" a="1"/>
  <c r="I50" i="22" a="1"/>
  <c r="I33" i="22" a="1"/>
  <c r="I54" i="22" a="1"/>
  <c r="I38" i="20" a="1"/>
  <c r="I50" i="20" a="1"/>
  <c r="I21" i="20" a="1"/>
  <c r="H53" i="24" a="1"/>
  <c r="H49" i="24" a="1"/>
  <c r="H35" i="24" a="1"/>
  <c r="H37" i="24" a="1"/>
  <c r="H42" i="28" a="1"/>
  <c r="H16" i="28" a="1"/>
  <c r="H33" i="28" a="1"/>
  <c r="I52" i="19" a="1"/>
  <c r="I34" i="19" a="1"/>
  <c r="I15" i="19" a="1"/>
  <c r="I17" i="19" a="1"/>
  <c r="H40" i="26" a="1"/>
  <c r="H34" i="26" a="1"/>
  <c r="H19" i="26" a="1"/>
  <c r="H51" i="29" a="1"/>
  <c r="H31" i="29" a="1"/>
  <c r="H30" i="29" a="1"/>
  <c r="H39" i="29" a="1"/>
  <c r="I25" i="23" a="1"/>
  <c r="I30" i="23" a="1"/>
  <c r="I31" i="23" a="1"/>
  <c r="I15" i="9" a="1"/>
  <c r="I20" i="9" a="1"/>
  <c r="I27" i="9" a="1"/>
  <c r="H25" i="25" a="1"/>
  <c r="H45" i="25" a="1"/>
  <c r="H42" i="25" a="1"/>
  <c r="H42" i="24" a="1"/>
  <c r="H18" i="28" a="1"/>
  <c r="I51" i="19" a="1"/>
  <c r="H52" i="26" a="1"/>
  <c r="I54" i="23" a="1"/>
  <c r="I26" i="21" a="1"/>
  <c r="I20" i="21" a="1"/>
  <c r="I51" i="21" a="1"/>
  <c r="I33" i="21" a="1"/>
  <c r="H53" i="27" a="1"/>
  <c r="H38" i="27" a="1"/>
  <c r="H48" i="27" a="1"/>
  <c r="I27" i="22" a="1"/>
  <c r="I46" i="22" a="1"/>
  <c r="I52" i="22" a="1"/>
  <c r="I22" i="22" a="1"/>
  <c r="I29" i="20" a="1"/>
  <c r="I40" i="20" a="1"/>
  <c r="I23" i="20" a="1"/>
  <c r="H17" i="24" a="1"/>
  <c r="H45" i="24" a="1"/>
  <c r="H33" i="24" a="1"/>
  <c r="H39" i="24" a="1"/>
  <c r="H24" i="28" a="1"/>
  <c r="H52" i="28" a="1"/>
  <c r="H15" i="28" a="1"/>
  <c r="I42" i="19" a="1"/>
  <c r="I53" i="19" a="1"/>
  <c r="I27" i="19" a="1"/>
  <c r="I22" i="19" a="1"/>
  <c r="H24" i="26" a="1"/>
  <c r="H28" i="26" a="1"/>
  <c r="H48" i="26" a="1"/>
  <c r="H34" i="29" a="1"/>
  <c r="H24" i="29" a="1"/>
  <c r="H54" i="29" a="1"/>
  <c r="H20" i="29" a="1"/>
  <c r="I22" i="23" a="1"/>
  <c r="I28" i="23" a="1"/>
  <c r="I38" i="23" a="1"/>
  <c r="I16" i="9" a="1"/>
  <c r="I22" i="9" a="1"/>
  <c r="I21" i="9" a="1"/>
  <c r="I23" i="9" a="1"/>
  <c r="H17" i="25" a="1"/>
  <c r="H48" i="25" a="1"/>
  <c r="H28" i="25" a="1"/>
  <c r="I46" i="21" a="1"/>
  <c r="I19" i="21" a="1"/>
  <c r="H29" i="27" a="1"/>
  <c r="H36" i="27" a="1"/>
  <c r="I28" i="22" a="1"/>
  <c r="I23" i="22" a="1"/>
  <c r="I40" i="22" a="1"/>
  <c r="I46" i="20" a="1"/>
  <c r="I51" i="20" a="1"/>
  <c r="I18" i="20" a="1"/>
  <c r="H36" i="24" a="1"/>
  <c r="H18" i="24" a="1"/>
  <c r="H30" i="24" a="1"/>
  <c r="H36" i="28" a="1"/>
  <c r="H35" i="28" a="1"/>
  <c r="I30" i="19" a="1"/>
  <c r="H33" i="26" a="1"/>
  <c r="H36" i="26" a="1"/>
  <c r="H51" i="26" a="1"/>
  <c r="H26" i="29" a="1"/>
  <c r="H52" i="29" a="1"/>
  <c r="H50" i="29" a="1"/>
  <c r="I32" i="23" a="1"/>
  <c r="I53" i="23" a="1"/>
  <c r="I43" i="23" a="1"/>
  <c r="I36" i="9" a="1"/>
  <c r="I49" i="9" a="1"/>
  <c r="I39" i="9" a="1"/>
  <c r="H27" i="25" a="1"/>
  <c r="H16" i="25" a="1"/>
  <c r="H36" i="25" a="1"/>
  <c r="I53" i="21" a="1"/>
  <c r="I23" i="21" a="1"/>
  <c r="I16" i="21" a="1"/>
  <c r="H51" i="27" a="1"/>
  <c r="H39" i="27" a="1"/>
  <c r="H33" i="27" a="1"/>
  <c r="I36" i="22" a="1"/>
  <c r="I53" i="22" a="1"/>
  <c r="I18" i="22" a="1"/>
  <c r="I48" i="20" a="1"/>
  <c r="I20" i="20" a="1"/>
  <c r="H43" i="24" a="1"/>
  <c r="H29" i="24" a="1"/>
  <c r="H20" i="28" a="1"/>
  <c r="H45" i="28" a="1"/>
  <c r="I50" i="19" a="1"/>
  <c r="H18" i="26" a="1"/>
  <c r="I49" i="23" a="1"/>
  <c r="H31" i="25" a="1"/>
  <c r="I54" i="9" a="1"/>
  <c r="I40" i="21" a="1"/>
  <c r="H16" i="27" a="1"/>
  <c r="H26" i="28" a="1"/>
  <c r="I49" i="19" a="1"/>
  <c r="I25" i="19" a="1"/>
  <c r="H45" i="26" a="1"/>
  <c r="H35" i="29" a="1"/>
  <c r="H28" i="29" a="1"/>
  <c r="I33" i="9" a="1"/>
  <c r="H43" i="29" a="1"/>
  <c r="H35" i="25" a="1"/>
  <c r="H33" i="25" a="1"/>
  <c r="H41" i="25" a="1"/>
  <c r="I32" i="21" a="1"/>
  <c r="I45" i="21" a="1"/>
  <c r="I38" i="21" a="1"/>
  <c r="H15" i="27" a="1"/>
  <c r="H47" i="27" a="1"/>
  <c r="H44" i="27" a="1"/>
  <c r="H26" i="27" a="1"/>
  <c r="I38" i="22" a="1"/>
  <c r="I17" i="22" a="1"/>
  <c r="I37" i="22" a="1"/>
  <c r="I52" i="20" a="1"/>
  <c r="I47" i="20" a="1"/>
  <c r="I37" i="20" a="1"/>
  <c r="I17" i="20" a="1"/>
  <c r="H44" i="24" a="1"/>
  <c r="H27" i="24" a="1"/>
  <c r="H22" i="24" a="1"/>
  <c r="H51" i="28" a="1"/>
  <c r="H43" i="28" a="1"/>
  <c r="H29" i="28" a="1"/>
  <c r="H49" i="28" a="1"/>
  <c r="I44" i="19" a="1"/>
  <c r="I48" i="19" a="1"/>
  <c r="I45" i="19" a="1"/>
  <c r="H29" i="26" a="1"/>
  <c r="I26" i="23" a="1"/>
  <c r="H15" i="25" a="1"/>
  <c r="I25" i="21" a="1"/>
  <c r="I28" i="21" a="1"/>
  <c r="I30" i="21" a="1"/>
  <c r="H49" i="27" a="1"/>
  <c r="H45" i="27" a="1"/>
  <c r="H19" i="27" a="1"/>
  <c r="H23" i="27" a="1"/>
  <c r="I44" i="22" a="1"/>
  <c r="I51" i="22" a="1"/>
  <c r="I30" i="22" a="1"/>
  <c r="I36" i="20" a="1"/>
  <c r="I34" i="20" a="1"/>
  <c r="I22" i="20" a="1"/>
  <c r="I35" i="20" a="1"/>
  <c r="H34" i="24" a="1"/>
  <c r="H38" i="24" a="1"/>
  <c r="H41" i="24" a="1"/>
  <c r="H54" i="28" a="1"/>
  <c r="H19" i="28" a="1"/>
  <c r="H47" i="28" a="1"/>
  <c r="H50" i="28" a="1"/>
  <c r="I41" i="19" a="1"/>
  <c r="I31" i="19" a="1"/>
  <c r="I16" i="19" a="1"/>
  <c r="H50" i="26" a="1"/>
  <c r="H15" i="26" a="1"/>
  <c r="H49" i="26" a="1"/>
  <c r="H25" i="26" a="1"/>
  <c r="H18" i="29" a="1"/>
  <c r="H46" i="29" a="1"/>
  <c r="H36" i="29" a="1"/>
  <c r="I35" i="23" a="1"/>
  <c r="I51" i="23" a="1"/>
  <c r="I18" i="23" a="1"/>
  <c r="I33" i="23" a="1"/>
  <c r="I30" i="9" a="1"/>
  <c r="I53" i="9" a="1"/>
  <c r="I41" i="9" a="1"/>
  <c r="H30" i="25" a="1"/>
  <c r="H32" i="25" a="1"/>
  <c r="H29" i="25" a="1"/>
  <c r="H26" i="25" a="1"/>
  <c r="I43" i="21" a="1"/>
  <c r="I15" i="21" a="1"/>
  <c r="I42" i="21" a="1"/>
  <c r="H24" i="27" a="1"/>
  <c r="H20" i="27" a="1"/>
  <c r="H34" i="27" a="1"/>
  <c r="H42" i="27" a="1"/>
  <c r="I25" i="22" a="1"/>
  <c r="I45" i="22" a="1"/>
  <c r="I32" i="22" a="1"/>
  <c r="I25" i="20" a="1"/>
  <c r="I32" i="20" a="1"/>
  <c r="I28" i="20" a="1"/>
  <c r="I54" i="20" a="1"/>
  <c r="H40" i="24" a="1"/>
  <c r="H31" i="24" a="1"/>
  <c r="H23" i="24" a="1"/>
  <c r="H38" i="28" a="1"/>
  <c r="H46" i="28" a="1"/>
  <c r="H53" i="28" a="1"/>
  <c r="I54" i="19" a="1"/>
  <c r="H54" i="26" a="1"/>
  <c r="H45" i="29" a="1"/>
  <c r="H42" i="29" a="1"/>
  <c r="I48" i="23" a="1"/>
  <c r="I16" i="23" a="1"/>
  <c r="I37" i="23" a="1"/>
  <c r="I44" i="9" a="1"/>
  <c r="I24" i="9" a="1"/>
  <c r="H51" i="25" a="1"/>
  <c r="I36" i="21" a="1"/>
  <c r="I47" i="21" a="1"/>
  <c r="I35" i="21" a="1"/>
  <c r="H50" i="27" a="1"/>
  <c r="H43" i="27" a="1"/>
  <c r="H37" i="27" a="1"/>
  <c r="H18" i="27" a="1"/>
  <c r="I20" i="22" a="1"/>
  <c r="I29" i="22" a="1"/>
  <c r="I42" i="22" a="1"/>
  <c r="I31" i="20" a="1"/>
  <c r="I27" i="20" a="1"/>
  <c r="I41" i="20" a="1"/>
  <c r="I39" i="20" a="1"/>
  <c r="H46" i="24" a="1"/>
  <c r="H24" i="24" a="1"/>
  <c r="H20" i="24" a="1"/>
  <c r="H25" i="28" a="1"/>
  <c r="H31" i="28" a="1"/>
  <c r="H34" i="28" a="1"/>
  <c r="H23" i="28" a="1"/>
  <c r="I29" i="19" a="1"/>
  <c r="I19" i="19" a="1"/>
  <c r="I20" i="19" a="1"/>
  <c r="H43" i="26" a="1"/>
  <c r="H21" i="26" a="1"/>
  <c r="H23" i="26" a="1"/>
  <c r="H20" i="26" a="1"/>
  <c r="H37" i="29" a="1"/>
  <c r="H22" i="29" a="1"/>
  <c r="H32" i="29" a="1"/>
  <c r="I40" i="23" a="1"/>
  <c r="I44" i="23" a="1"/>
  <c r="I47" i="23" a="1"/>
  <c r="I42" i="23" a="1"/>
  <c r="I28" i="9" a="1"/>
  <c r="I40" i="9" a="1"/>
  <c r="I29" i="9" a="1"/>
  <c r="H22" i="25" a="1"/>
  <c r="H19" i="25" a="1"/>
  <c r="H21" i="25" a="1"/>
  <c r="H39" i="25" a="1"/>
  <c r="H32" i="28" a="1"/>
  <c r="I24" i="19" a="1"/>
  <c r="I47" i="19" a="1"/>
  <c r="H53" i="26" a="1"/>
  <c r="H44" i="26" a="1"/>
  <c r="H42" i="26" a="1"/>
  <c r="H33" i="29" a="1"/>
  <c r="I46" i="23" a="1"/>
  <c r="H18" i="25" a="1"/>
  <c r="H18" i="25" l="1"/>
  <c r="I46" i="23"/>
  <c r="H33" i="29"/>
  <c r="H42" i="26"/>
  <c r="H44" i="26"/>
  <c r="H53" i="26"/>
  <c r="I47" i="19"/>
  <c r="I24" i="19"/>
  <c r="H32" i="28"/>
  <c r="H39" i="25"/>
  <c r="H21" i="25"/>
  <c r="H19" i="25"/>
  <c r="H22" i="25"/>
  <c r="I29" i="9"/>
  <c r="I40" i="9"/>
  <c r="I28" i="9"/>
  <c r="I42" i="23"/>
  <c r="I47" i="23"/>
  <c r="I44" i="23"/>
  <c r="I40" i="23"/>
  <c r="H32" i="29"/>
  <c r="H22" i="29"/>
  <c r="H37" i="29"/>
  <c r="H20" i="26"/>
  <c r="H23" i="26"/>
  <c r="H21" i="26"/>
  <c r="H43" i="26"/>
  <c r="I20" i="19"/>
  <c r="I19" i="19"/>
  <c r="I29" i="19"/>
  <c r="H23" i="28"/>
  <c r="H34" i="28"/>
  <c r="H31" i="28"/>
  <c r="H25" i="28"/>
  <c r="H20" i="24"/>
  <c r="H24" i="24"/>
  <c r="H46" i="24"/>
  <c r="I39" i="20"/>
  <c r="I41" i="20"/>
  <c r="I27" i="20"/>
  <c r="I31" i="20"/>
  <c r="I42" i="22"/>
  <c r="I29" i="22"/>
  <c r="I20" i="22"/>
  <c r="H18" i="27"/>
  <c r="H37" i="27"/>
  <c r="H43" i="27"/>
  <c r="H50" i="27"/>
  <c r="I35" i="21"/>
  <c r="I47" i="21"/>
  <c r="I36" i="21"/>
  <c r="H51" i="25"/>
  <c r="I24" i="9"/>
  <c r="I44" i="9"/>
  <c r="I37" i="23"/>
  <c r="I16" i="23"/>
  <c r="I48" i="23"/>
  <c r="H42" i="29"/>
  <c r="H45" i="29"/>
  <c r="H54" i="26"/>
  <c r="I54" i="19"/>
  <c r="H53" i="28"/>
  <c r="H46" i="28"/>
  <c r="H38" i="28"/>
  <c r="H23" i="24"/>
  <c r="H31" i="24"/>
  <c r="H40" i="24"/>
  <c r="I54" i="20"/>
  <c r="I28" i="20"/>
  <c r="I32" i="20"/>
  <c r="I25" i="20"/>
  <c r="I32" i="22"/>
  <c r="I45" i="22"/>
  <c r="I25" i="22"/>
  <c r="H42" i="27"/>
  <c r="H34" i="27"/>
  <c r="H20" i="27"/>
  <c r="H24" i="27"/>
  <c r="I42" i="21"/>
  <c r="I15" i="21"/>
  <c r="I43" i="21"/>
  <c r="H26" i="25"/>
  <c r="H29" i="25"/>
  <c r="H32" i="25"/>
  <c r="H30" i="25"/>
  <c r="I41" i="9"/>
  <c r="I53" i="9"/>
  <c r="I30" i="9"/>
  <c r="I33" i="23"/>
  <c r="I18" i="23"/>
  <c r="I51" i="23"/>
  <c r="I35" i="23"/>
  <c r="H36" i="29"/>
  <c r="H46" i="29"/>
  <c r="H18" i="29"/>
  <c r="H25" i="26"/>
  <c r="H49" i="26"/>
  <c r="H15" i="26"/>
  <c r="H50" i="26"/>
  <c r="I16" i="19"/>
  <c r="I31" i="19"/>
  <c r="I41" i="19"/>
  <c r="H50" i="28"/>
  <c r="H47" i="28"/>
  <c r="H19" i="28"/>
  <c r="H54" i="28"/>
  <c r="H41" i="24"/>
  <c r="H38" i="24"/>
  <c r="H34" i="24"/>
  <c r="I35" i="20"/>
  <c r="I22" i="20"/>
  <c r="I34" i="20"/>
  <c r="I36" i="20"/>
  <c r="I30" i="22"/>
  <c r="I51" i="22"/>
  <c r="I44" i="22"/>
  <c r="H23" i="27"/>
  <c r="H19" i="27"/>
  <c r="H45" i="27"/>
  <c r="H49" i="27"/>
  <c r="I30" i="21"/>
  <c r="I28" i="21"/>
  <c r="I25" i="21"/>
  <c r="H15" i="25"/>
  <c r="I26" i="23"/>
  <c r="H29" i="26"/>
  <c r="I45" i="19"/>
  <c r="I48" i="19"/>
  <c r="I44" i="19"/>
  <c r="H49" i="28"/>
  <c r="H29" i="28"/>
  <c r="H43" i="28"/>
  <c r="H51" i="28"/>
  <c r="H22" i="24"/>
  <c r="H27" i="24"/>
  <c r="H44" i="24"/>
  <c r="I17" i="20"/>
  <c r="I37" i="20"/>
  <c r="I47" i="20"/>
  <c r="I52" i="20"/>
  <c r="I37" i="22"/>
  <c r="I17" i="22"/>
  <c r="I38" i="22"/>
  <c r="H26" i="27"/>
  <c r="H44" i="27"/>
  <c r="H47" i="27"/>
  <c r="H15" i="27"/>
  <c r="I38" i="21"/>
  <c r="I45" i="21"/>
  <c r="I32" i="21"/>
  <c r="H41" i="25"/>
  <c r="H33" i="25"/>
  <c r="H35" i="25"/>
  <c r="H43" i="29"/>
  <c r="I33" i="9"/>
  <c r="H28" i="29"/>
  <c r="H35" i="29"/>
  <c r="H45" i="26"/>
  <c r="I25" i="19"/>
  <c r="I49" i="19"/>
  <c r="H26" i="28"/>
  <c r="H16" i="27"/>
  <c r="I40" i="21"/>
  <c r="I54" i="9"/>
  <c r="H31" i="25"/>
  <c r="I49" i="23"/>
  <c r="H18" i="26"/>
  <c r="I50" i="19"/>
  <c r="H45" i="28"/>
  <c r="H20" i="28"/>
  <c r="H29" i="24"/>
  <c r="H43" i="24"/>
  <c r="I20" i="20"/>
  <c r="I48" i="20"/>
  <c r="I18" i="22"/>
  <c r="I53" i="22"/>
  <c r="I36" i="22"/>
  <c r="H33" i="27"/>
  <c r="H39" i="27"/>
  <c r="H51" i="27"/>
  <c r="I16" i="21"/>
  <c r="I23" i="21"/>
  <c r="I53" i="21"/>
  <c r="H36" i="25"/>
  <c r="H16" i="25"/>
  <c r="H27" i="25"/>
  <c r="I39" i="9"/>
  <c r="I49" i="9"/>
  <c r="I36" i="9"/>
  <c r="I43" i="23"/>
  <c r="I53" i="23"/>
  <c r="I32" i="23"/>
  <c r="H50" i="29"/>
  <c r="H52" i="29"/>
  <c r="H26" i="29"/>
  <c r="H51" i="26"/>
  <c r="H36" i="26"/>
  <c r="H33" i="26"/>
  <c r="I30" i="19"/>
  <c r="H35" i="28"/>
  <c r="H36" i="28"/>
  <c r="H30" i="24"/>
  <c r="H18" i="24"/>
  <c r="H36" i="24"/>
  <c r="I18" i="20"/>
  <c r="I51" i="20"/>
  <c r="I46" i="20"/>
  <c r="I40" i="22"/>
  <c r="I23" i="22"/>
  <c r="I28" i="22"/>
  <c r="H36" i="27"/>
  <c r="H29" i="27"/>
  <c r="I19" i="21"/>
  <c r="I46" i="21"/>
  <c r="H28" i="25"/>
  <c r="H48" i="25"/>
  <c r="H17" i="25"/>
  <c r="I23" i="9"/>
  <c r="I21" i="9"/>
  <c r="I22" i="9"/>
  <c r="I16" i="9"/>
  <c r="I38" i="23"/>
  <c r="I28" i="23"/>
  <c r="I22" i="23"/>
  <c r="H20" i="29"/>
  <c r="H54" i="29"/>
  <c r="H24" i="29"/>
  <c r="H34" i="29"/>
  <c r="H48" i="26"/>
  <c r="H28" i="26"/>
  <c r="H24" i="26"/>
  <c r="I22" i="19"/>
  <c r="I27" i="19"/>
  <c r="I53" i="19"/>
  <c r="I42" i="19"/>
  <c r="H15" i="28"/>
  <c r="H52" i="28"/>
  <c r="H24" i="28"/>
  <c r="H39" i="24"/>
  <c r="H33" i="24"/>
  <c r="H45" i="24"/>
  <c r="H17" i="24"/>
  <c r="I23" i="20"/>
  <c r="I40" i="20"/>
  <c r="I29" i="20"/>
  <c r="I22" i="22"/>
  <c r="I52" i="22"/>
  <c r="I46" i="22"/>
  <c r="I27" i="22"/>
  <c r="H48" i="27"/>
  <c r="H38" i="27"/>
  <c r="H53" i="27"/>
  <c r="I33" i="21"/>
  <c r="I51" i="21"/>
  <c r="I20" i="21"/>
  <c r="I26" i="21"/>
  <c r="I54" i="23"/>
  <c r="H52" i="26"/>
  <c r="I51" i="19"/>
  <c r="H18" i="28"/>
  <c r="H42" i="24"/>
  <c r="H42" i="25"/>
  <c r="H45" i="25"/>
  <c r="H25" i="25"/>
  <c r="I27" i="9"/>
  <c r="I20" i="9"/>
  <c r="I15" i="9"/>
  <c r="I31" i="23"/>
  <c r="I30" i="23"/>
  <c r="I25" i="23"/>
  <c r="H39" i="29"/>
  <c r="H30" i="29"/>
  <c r="H31" i="29"/>
  <c r="H51" i="29"/>
  <c r="H19" i="26"/>
  <c r="H34" i="26"/>
  <c r="H40" i="26"/>
  <c r="I17" i="19"/>
  <c r="I15" i="19"/>
  <c r="I34" i="19"/>
  <c r="I52" i="19"/>
  <c r="H33" i="28"/>
  <c r="H16" i="28"/>
  <c r="H42" i="28"/>
  <c r="H37" i="24"/>
  <c r="H35" i="24"/>
  <c r="H49" i="24"/>
  <c r="H53" i="24"/>
  <c r="I21" i="20"/>
  <c r="I50" i="20"/>
  <c r="I38" i="20"/>
  <c r="I54" i="22"/>
  <c r="I33" i="22"/>
  <c r="I50" i="22"/>
  <c r="H43" i="25"/>
  <c r="I21" i="23"/>
  <c r="I50" i="9"/>
  <c r="I17" i="23"/>
  <c r="H38" i="29"/>
  <c r="H16" i="26"/>
  <c r="I21" i="19"/>
  <c r="I15" i="20"/>
  <c r="I47" i="9"/>
  <c r="I39" i="22"/>
  <c r="H28" i="27"/>
  <c r="H22" i="27"/>
  <c r="H31" i="27"/>
  <c r="I24" i="21"/>
  <c r="I54" i="21"/>
  <c r="I17" i="21"/>
  <c r="I48" i="21"/>
  <c r="H53" i="25"/>
  <c r="H52" i="25"/>
  <c r="H40" i="25"/>
  <c r="I38" i="9"/>
  <c r="I34" i="9"/>
  <c r="I18" i="9"/>
  <c r="I43" i="9"/>
  <c r="I50" i="23"/>
  <c r="I29" i="23"/>
  <c r="I24" i="23"/>
  <c r="H25" i="29"/>
  <c r="H16" i="29"/>
  <c r="H40" i="29"/>
  <c r="H17" i="29"/>
  <c r="H37" i="26"/>
  <c r="H22" i="26"/>
  <c r="H41" i="26"/>
  <c r="I23" i="19"/>
  <c r="I32" i="19"/>
  <c r="I28" i="19"/>
  <c r="I39" i="19"/>
  <c r="H48" i="28"/>
  <c r="H37" i="28"/>
  <c r="H17" i="28"/>
  <c r="H51" i="24"/>
  <c r="H16" i="24"/>
  <c r="H19" i="24"/>
  <c r="H26" i="24"/>
  <c r="I24" i="20"/>
  <c r="I16" i="20"/>
  <c r="I30" i="20"/>
  <c r="I49" i="22"/>
  <c r="I47" i="22"/>
  <c r="I34" i="22"/>
  <c r="I15" i="22"/>
  <c r="H35" i="27"/>
  <c r="H17" i="27"/>
  <c r="H46" i="27"/>
  <c r="I34" i="21"/>
  <c r="I27" i="21"/>
  <c r="I22" i="21"/>
  <c r="I18" i="21"/>
  <c r="H23" i="25"/>
  <c r="I17" i="9"/>
  <c r="H49" i="29"/>
  <c r="H54" i="25"/>
  <c r="I26" i="19"/>
  <c r="I36" i="23"/>
  <c r="H27" i="26"/>
  <c r="I31" i="9"/>
  <c r="I41" i="23"/>
  <c r="H34" i="25"/>
  <c r="I51" i="9"/>
  <c r="I46" i="9"/>
  <c r="I39" i="23"/>
  <c r="I37" i="9"/>
  <c r="I52" i="23"/>
  <c r="I20" i="23"/>
  <c r="H29" i="29"/>
  <c r="H44" i="29"/>
  <c r="H47" i="29"/>
  <c r="H39" i="26"/>
  <c r="H35" i="26"/>
  <c r="H46" i="26"/>
  <c r="I38" i="19"/>
  <c r="I37" i="19"/>
  <c r="I35" i="19"/>
  <c r="H44" i="28"/>
  <c r="H40" i="28"/>
  <c r="H22" i="28"/>
  <c r="H54" i="24"/>
  <c r="H21" i="24"/>
  <c r="H15" i="24"/>
  <c r="I42" i="20"/>
  <c r="I49" i="20"/>
  <c r="I53" i="20"/>
  <c r="I16" i="22"/>
  <c r="I41" i="22"/>
  <c r="I19" i="22"/>
  <c r="H25" i="27"/>
  <c r="H54" i="27"/>
  <c r="H52" i="27"/>
  <c r="I37" i="21"/>
  <c r="I29" i="21"/>
  <c r="I31" i="21"/>
  <c r="H20" i="25"/>
  <c r="I35" i="9"/>
  <c r="H21" i="29"/>
  <c r="H30" i="26"/>
  <c r="H49" i="25"/>
  <c r="H47" i="25"/>
  <c r="I32" i="9"/>
  <c r="I26" i="9"/>
  <c r="I27" i="23"/>
  <c r="I34" i="23"/>
  <c r="H23" i="29"/>
  <c r="H53" i="29"/>
  <c r="H19" i="29"/>
  <c r="H27" i="29"/>
  <c r="H17" i="26"/>
  <c r="H38" i="26"/>
  <c r="H32" i="26"/>
  <c r="I43" i="19"/>
  <c r="I36" i="19"/>
  <c r="I33" i="19"/>
  <c r="H28" i="28"/>
  <c r="H21" i="28"/>
  <c r="H27" i="28"/>
  <c r="H28" i="24"/>
  <c r="H25" i="24"/>
  <c r="H50" i="24"/>
  <c r="H47" i="24"/>
  <c r="I26" i="20"/>
  <c r="I44" i="20"/>
  <c r="I19" i="20"/>
  <c r="I31" i="22"/>
  <c r="I21" i="22"/>
  <c r="I43" i="22"/>
  <c r="I35" i="22"/>
  <c r="H32" i="27"/>
  <c r="H30" i="27"/>
  <c r="H40" i="27"/>
  <c r="I39" i="21"/>
  <c r="I21" i="21"/>
  <c r="I50" i="21"/>
  <c r="I52" i="21"/>
  <c r="H44" i="25"/>
  <c r="H24" i="25"/>
  <c r="H50" i="25"/>
  <c r="I52" i="9"/>
  <c r="I19" i="9"/>
  <c r="I45" i="23"/>
  <c r="H46" i="25"/>
  <c r="H37" i="25"/>
  <c r="H38" i="25"/>
  <c r="I45" i="9"/>
  <c r="I25" i="9"/>
  <c r="I42" i="9"/>
  <c r="I48" i="9"/>
  <c r="I15" i="23"/>
  <c r="I23" i="23"/>
  <c r="I19" i="23"/>
  <c r="H41" i="29"/>
  <c r="H48" i="29"/>
  <c r="H15" i="29"/>
  <c r="H47" i="26"/>
  <c r="H31" i="26"/>
  <c r="H26" i="26"/>
  <c r="I40" i="19"/>
  <c r="I46" i="19"/>
  <c r="I18" i="19"/>
  <c r="H30" i="28"/>
  <c r="H41" i="28"/>
  <c r="H39" i="28"/>
  <c r="H52" i="24"/>
  <c r="H32" i="24"/>
  <c r="H48" i="24"/>
  <c r="I45" i="20"/>
  <c r="I43" i="20"/>
  <c r="I33" i="20"/>
  <c r="I26" i="22"/>
  <c r="I48" i="22"/>
  <c r="I24" i="22"/>
  <c r="H27" i="27"/>
  <c r="H21" i="27"/>
  <c r="H41" i="27"/>
  <c r="I44" i="21"/>
  <c r="I49" i="21"/>
  <c r="I41" i="21"/>
  <c r="J12" i="9"/>
  <c r="K11" i="9"/>
  <c r="J12" i="23"/>
  <c r="K11" i="23"/>
  <c r="J11" i="26"/>
  <c r="I12" i="26"/>
  <c r="J11" i="28"/>
  <c r="I12" i="28"/>
  <c r="J11" i="27"/>
  <c r="I12" i="27"/>
  <c r="J12" i="20"/>
  <c r="K11" i="20"/>
  <c r="I12" i="29"/>
  <c r="J11" i="29"/>
  <c r="I12" i="24"/>
  <c r="J11" i="24"/>
  <c r="J12" i="22"/>
  <c r="K11" i="22"/>
  <c r="J12" i="21"/>
  <c r="K11" i="21"/>
  <c r="I12" i="25"/>
  <c r="J11" i="25"/>
  <c r="J12" i="19"/>
  <c r="K11" i="19"/>
  <c r="J15" i="9" a="1"/>
  <c r="J35" i="9" a="1"/>
  <c r="J30" i="9" a="1"/>
  <c r="J16" i="9" a="1"/>
  <c r="J21" i="23" a="1"/>
  <c r="J26" i="23" a="1"/>
  <c r="J32" i="23" a="1"/>
  <c r="I41" i="26" a="1"/>
  <c r="I39" i="26" a="1"/>
  <c r="I53" i="26" a="1"/>
  <c r="I15" i="28" a="1"/>
  <c r="I28" i="28" a="1"/>
  <c r="I47" i="28" a="1"/>
  <c r="I40" i="27" a="1"/>
  <c r="I49" i="27" a="1"/>
  <c r="I41" i="27" a="1"/>
  <c r="J30" i="20" a="1"/>
  <c r="J52" i="20" a="1"/>
  <c r="J23" i="20" a="1"/>
  <c r="I15" i="29" a="1"/>
  <c r="I52" i="29" a="1"/>
  <c r="I48" i="29" a="1"/>
  <c r="I18" i="24" a="1"/>
  <c r="I16" i="24" a="1"/>
  <c r="I36" i="24" a="1"/>
  <c r="J19" i="22" a="1"/>
  <c r="J51" i="22" a="1"/>
  <c r="J28" i="22" a="1"/>
  <c r="J45" i="21" a="1"/>
  <c r="J48" i="21" a="1"/>
  <c r="J47" i="21" a="1"/>
  <c r="I50" i="25" a="1"/>
  <c r="I35" i="25" a="1"/>
  <c r="I21" i="25" a="1"/>
  <c r="J50" i="19" a="1"/>
  <c r="J32" i="19" a="1"/>
  <c r="J22" i="19" a="1"/>
  <c r="J49" i="23" a="1"/>
  <c r="J51" i="21" a="1"/>
  <c r="I42" i="26" a="1"/>
  <c r="I37" i="28" a="1"/>
  <c r="I19" i="27" a="1"/>
  <c r="I30" i="27" a="1"/>
  <c r="I37" i="27" a="1"/>
  <c r="J16" i="20" a="1"/>
  <c r="I33" i="29" a="1"/>
  <c r="I49" i="24" a="1"/>
  <c r="J17" i="9" a="1"/>
  <c r="I44" i="27" a="1"/>
  <c r="I30" i="24" a="1"/>
  <c r="J33" i="9" a="1"/>
  <c r="J27" i="9" a="1"/>
  <c r="J48" i="9" a="1"/>
  <c r="J18" i="9" a="1"/>
  <c r="J18" i="23" a="1"/>
  <c r="J35" i="23" a="1"/>
  <c r="J24" i="23" a="1"/>
  <c r="I17" i="26" a="1"/>
  <c r="I30" i="26" a="1"/>
  <c r="I45" i="26" a="1"/>
  <c r="I44" i="28" a="1"/>
  <c r="I31" i="28" a="1"/>
  <c r="I27" i="28" a="1"/>
  <c r="I46" i="27" a="1"/>
  <c r="I32" i="27" a="1"/>
  <c r="I54" i="27" a="1"/>
  <c r="J18" i="20" a="1"/>
  <c r="J47" i="20" a="1"/>
  <c r="J24" i="20" a="1"/>
  <c r="I27" i="29" a="1"/>
  <c r="I47" i="29" a="1"/>
  <c r="I21" i="29" a="1"/>
  <c r="I19" i="24" a="1"/>
  <c r="I29" i="24" a="1"/>
  <c r="I48" i="24" a="1"/>
  <c r="J16" i="22" a="1"/>
  <c r="J49" i="22" a="1"/>
  <c r="J22" i="22" a="1"/>
  <c r="J25" i="21" a="1"/>
  <c r="J21" i="21" a="1"/>
  <c r="J19" i="21" a="1"/>
  <c r="I23" i="25" a="1"/>
  <c r="I18" i="25" a="1"/>
  <c r="I29" i="25" a="1"/>
  <c r="J49" i="19" a="1"/>
  <c r="J20" i="19" a="1"/>
  <c r="J33" i="19" a="1"/>
  <c r="J36" i="9" a="1"/>
  <c r="J45" i="9" a="1"/>
  <c r="J40" i="9" a="1"/>
  <c r="J48" i="23" a="1"/>
  <c r="I35" i="26" a="1"/>
  <c r="I16" i="26" a="1"/>
  <c r="I29" i="28" a="1"/>
  <c r="I33" i="27" a="1"/>
  <c r="J49" i="20" a="1"/>
  <c r="I15" i="24" a="1"/>
  <c r="I20" i="24" a="1"/>
  <c r="J30" i="22" a="1"/>
  <c r="J39" i="22" a="1"/>
  <c r="J35" i="21" a="1"/>
  <c r="I41" i="25" a="1"/>
  <c r="J26" i="19" a="1"/>
  <c r="J38" i="9" a="1"/>
  <c r="I34" i="26" a="1"/>
  <c r="I18" i="28" a="1"/>
  <c r="J27" i="20" a="1"/>
  <c r="I16" i="29" a="1"/>
  <c r="I27" i="24" a="1"/>
  <c r="J47" i="22" a="1"/>
  <c r="J31" i="21" a="1"/>
  <c r="I51" i="25" a="1"/>
  <c r="I38" i="25" a="1"/>
  <c r="J27" i="19" a="1"/>
  <c r="J54" i="20" a="1"/>
  <c r="I51" i="24" a="1"/>
  <c r="J46" i="22" a="1"/>
  <c r="J27" i="22" a="1"/>
  <c r="J15" i="21" a="1"/>
  <c r="I25" i="25" a="1"/>
  <c r="J31" i="9" a="1"/>
  <c r="J46" i="9" a="1"/>
  <c r="J39" i="9" a="1"/>
  <c r="J24" i="9" a="1"/>
  <c r="J20" i="23" a="1"/>
  <c r="J25" i="23" a="1"/>
  <c r="J36" i="23" a="1"/>
  <c r="I33" i="26" a="1"/>
  <c r="I21" i="26" a="1"/>
  <c r="I23" i="26" a="1"/>
  <c r="I50" i="26" a="1"/>
  <c r="I21" i="28" a="1"/>
  <c r="I42" i="28" a="1"/>
  <c r="I43" i="28" a="1"/>
  <c r="I23" i="27" a="1"/>
  <c r="I36" i="27" a="1"/>
  <c r="I18" i="27" a="1"/>
  <c r="I24" i="27" a="1"/>
  <c r="J33" i="20" a="1"/>
  <c r="J51" i="20" a="1"/>
  <c r="J26" i="20" a="1"/>
  <c r="I20" i="29" a="1"/>
  <c r="I38" i="29" a="1"/>
  <c r="I34" i="29" a="1"/>
  <c r="I32" i="29" a="1"/>
  <c r="I41" i="24" a="1"/>
  <c r="I26" i="24" a="1"/>
  <c r="I42" i="24" a="1"/>
  <c r="J18" i="22" a="1"/>
  <c r="J21" i="22" a="1"/>
  <c r="J44" i="22" a="1"/>
  <c r="J32" i="22" a="1"/>
  <c r="J16" i="21" a="1"/>
  <c r="J36" i="21" a="1"/>
  <c r="J41" i="21" a="1"/>
  <c r="I30" i="25" a="1"/>
  <c r="I37" i="25" a="1"/>
  <c r="I53" i="25" a="1"/>
  <c r="I22" i="25" a="1"/>
  <c r="J51" i="19" a="1"/>
  <c r="J25" i="19" a="1"/>
  <c r="J46" i="19" a="1"/>
  <c r="J41" i="9" a="1"/>
  <c r="I40" i="26" a="1"/>
  <c r="I47" i="27" a="1"/>
  <c r="I40" i="25" a="1"/>
  <c r="J38" i="19" a="1"/>
  <c r="J17" i="19" a="1"/>
  <c r="J22" i="23" a="1"/>
  <c r="I41" i="29" a="1"/>
  <c r="I40" i="24" a="1"/>
  <c r="J53" i="22" a="1"/>
  <c r="I46" i="24" a="1"/>
  <c r="J52" i="23" a="1"/>
  <c r="I39" i="28" a="1"/>
  <c r="I48" i="27" a="1"/>
  <c r="I19" i="29" a="1"/>
  <c r="J24" i="22" a="1"/>
  <c r="J38" i="22" a="1"/>
  <c r="I31" i="26" a="1"/>
  <c r="I38" i="28" a="1"/>
  <c r="J39" i="20" a="1"/>
  <c r="I25" i="29" a="1"/>
  <c r="J26" i="22" a="1"/>
  <c r="J28" i="19" a="1"/>
  <c r="J45" i="20" a="1"/>
  <c r="J40" i="21" a="1"/>
  <c r="J44" i="9" a="1"/>
  <c r="J28" i="9" a="1"/>
  <c r="J26" i="9" a="1"/>
  <c r="J51" i="9" a="1"/>
  <c r="J43" i="23" a="1"/>
  <c r="J17" i="23" a="1"/>
  <c r="J44" i="23" a="1"/>
  <c r="I20" i="26" a="1"/>
  <c r="I29" i="26" a="1"/>
  <c r="I25" i="26" a="1"/>
  <c r="I24" i="26" a="1"/>
  <c r="I51" i="28" a="1"/>
  <c r="I50" i="28" a="1"/>
  <c r="I35" i="28" a="1"/>
  <c r="I39" i="27" a="1"/>
  <c r="I43" i="27" a="1"/>
  <c r="I45" i="27" a="1"/>
  <c r="I28" i="27" a="1"/>
  <c r="J36" i="20" a="1"/>
  <c r="J38" i="20" a="1"/>
  <c r="J15" i="20" a="1"/>
  <c r="I17" i="29" a="1"/>
  <c r="I36" i="29" a="1"/>
  <c r="I44" i="29" a="1"/>
  <c r="I53" i="29" a="1"/>
  <c r="I45" i="24" a="1"/>
  <c r="I37" i="24" a="1"/>
  <c r="I28" i="24" a="1"/>
  <c r="J48" i="22" a="1"/>
  <c r="J36" i="22" a="1"/>
  <c r="J20" i="22" a="1"/>
  <c r="J23" i="22" a="1"/>
  <c r="J39" i="21" a="1"/>
  <c r="J30" i="21" a="1"/>
  <c r="J43" i="21" a="1"/>
  <c r="I32" i="25" a="1"/>
  <c r="I16" i="25" a="1"/>
  <c r="I42" i="25" a="1"/>
  <c r="I28" i="25" a="1"/>
  <c r="J53" i="19" a="1"/>
  <c r="J43" i="19" a="1"/>
  <c r="J47" i="19" a="1"/>
  <c r="I44" i="25" a="1"/>
  <c r="J43" i="9" a="1"/>
  <c r="J19" i="9" a="1"/>
  <c r="J53" i="23" a="1"/>
  <c r="J54" i="23" a="1"/>
  <c r="J33" i="23" a="1"/>
  <c r="I18" i="26" a="1"/>
  <c r="I36" i="26" a="1"/>
  <c r="I28" i="26" a="1"/>
  <c r="I33" i="28" a="1"/>
  <c r="I17" i="28" a="1"/>
  <c r="I40" i="28" a="1"/>
  <c r="I27" i="27" a="1"/>
  <c r="I52" i="27" a="1"/>
  <c r="I38" i="27" a="1"/>
  <c r="J50" i="20" a="1"/>
  <c r="J41" i="20" a="1"/>
  <c r="J31" i="20" a="1"/>
  <c r="I26" i="29" a="1"/>
  <c r="I31" i="29" a="1"/>
  <c r="I30" i="29" a="1"/>
  <c r="I47" i="24" a="1"/>
  <c r="I33" i="24" a="1"/>
  <c r="I54" i="24" a="1"/>
  <c r="J45" i="22" a="1"/>
  <c r="J15" i="22" a="1"/>
  <c r="J35" i="22" a="1"/>
  <c r="J49" i="21" a="1"/>
  <c r="J44" i="21" a="1"/>
  <c r="J52" i="21" a="1"/>
  <c r="I43" i="25" a="1"/>
  <c r="I39" i="25" a="1"/>
  <c r="I36" i="25" a="1"/>
  <c r="J40" i="19" a="1"/>
  <c r="J18" i="19" a="1"/>
  <c r="J48" i="19" a="1"/>
  <c r="I38" i="26" a="1"/>
  <c r="I20" i="28" a="1"/>
  <c r="I20" i="27" a="1"/>
  <c r="I31" i="27" a="1"/>
  <c r="J34" i="20" a="1"/>
  <c r="J25" i="20" a="1"/>
  <c r="J21" i="20" a="1"/>
  <c r="I42" i="29" a="1"/>
  <c r="I23" i="29" a="1"/>
  <c r="I45" i="29" a="1"/>
  <c r="I53" i="24" a="1"/>
  <c r="J33" i="22" a="1"/>
  <c r="J25" i="22" a="1"/>
  <c r="J33" i="21" a="1"/>
  <c r="J34" i="21" a="1"/>
  <c r="J54" i="21" a="1"/>
  <c r="I31" i="25" a="1"/>
  <c r="J34" i="19" a="1"/>
  <c r="J42" i="9" a="1"/>
  <c r="J50" i="23" a="1"/>
  <c r="I34" i="28" a="1"/>
  <c r="J25" i="9" a="1"/>
  <c r="J21" i="9" a="1"/>
  <c r="J47" i="9" a="1"/>
  <c r="J46" i="23" a="1"/>
  <c r="J15" i="23" a="1"/>
  <c r="J39" i="23" a="1"/>
  <c r="J16" i="23" a="1"/>
  <c r="I48" i="26" a="1"/>
  <c r="I22" i="26" a="1"/>
  <c r="I51" i="26" a="1"/>
  <c r="I25" i="28" a="1"/>
  <c r="I30" i="28" a="1"/>
  <c r="I53" i="28" a="1"/>
  <c r="I19" i="28" a="1"/>
  <c r="I29" i="27" a="1"/>
  <c r="I53" i="27" a="1"/>
  <c r="I42" i="27" a="1"/>
  <c r="J53" i="20" a="1"/>
  <c r="J17" i="20" a="1"/>
  <c r="J28" i="20" a="1"/>
  <c r="J43" i="20" a="1"/>
  <c r="I22" i="29" a="1"/>
  <c r="I51" i="29" a="1"/>
  <c r="I28" i="29" a="1"/>
  <c r="I17" i="24" a="1"/>
  <c r="I31" i="24" a="1"/>
  <c r="I52" i="24" a="1"/>
  <c r="I43" i="24" a="1"/>
  <c r="J17" i="22" a="1"/>
  <c r="J50" i="22" a="1"/>
  <c r="J31" i="22" a="1"/>
  <c r="J28" i="21" a="1"/>
  <c r="J32" i="21" a="1"/>
  <c r="J23" i="21" a="1"/>
  <c r="J42" i="21" a="1"/>
  <c r="I33" i="25" a="1"/>
  <c r="I47" i="25" a="1"/>
  <c r="I49" i="25" a="1"/>
  <c r="J41" i="19" a="1"/>
  <c r="J54" i="19" a="1"/>
  <c r="J35" i="19" a="1"/>
  <c r="J42" i="19" a="1"/>
  <c r="J49" i="9" a="1"/>
  <c r="J23" i="9" a="1"/>
  <c r="J54" i="9" a="1"/>
  <c r="J38" i="23" a="1"/>
  <c r="J29" i="23" a="1"/>
  <c r="J27" i="23" a="1"/>
  <c r="J37" i="23" a="1"/>
  <c r="I47" i="26" a="1"/>
  <c r="I54" i="26" a="1"/>
  <c r="I16" i="28" a="1"/>
  <c r="I45" i="28" a="1"/>
  <c r="I23" i="28" a="1"/>
  <c r="I22" i="27" a="1"/>
  <c r="J20" i="20" a="1"/>
  <c r="I38" i="24" a="1"/>
  <c r="I23" i="24" a="1"/>
  <c r="I50" i="24" a="1"/>
  <c r="J40" i="22" a="1"/>
  <c r="J24" i="21" a="1"/>
  <c r="I54" i="25" a="1"/>
  <c r="J24" i="19" a="1"/>
  <c r="J39" i="19" a="1"/>
  <c r="J44" i="19" a="1"/>
  <c r="J19" i="23" a="1"/>
  <c r="I46" i="28" a="1"/>
  <c r="I46" i="29" a="1"/>
  <c r="J22" i="21" a="1"/>
  <c r="I20" i="25" a="1"/>
  <c r="J36" i="19" a="1"/>
  <c r="I45" i="25" a="1"/>
  <c r="J51" i="23" a="1"/>
  <c r="I25" i="27" a="1"/>
  <c r="J30" i="19" a="1"/>
  <c r="J53" i="9" a="1"/>
  <c r="J34" i="9" a="1"/>
  <c r="J20" i="9" a="1"/>
  <c r="J28" i="23" a="1"/>
  <c r="J47" i="23" a="1"/>
  <c r="J31" i="23" a="1"/>
  <c r="J42" i="23" a="1"/>
  <c r="I27" i="26" a="1"/>
  <c r="I43" i="26" a="1"/>
  <c r="I44" i="26" a="1"/>
  <c r="I41" i="28" a="1"/>
  <c r="I24" i="28" a="1"/>
  <c r="I26" i="28" a="1"/>
  <c r="I54" i="28" a="1"/>
  <c r="I51" i="27" a="1"/>
  <c r="I26" i="27" a="1"/>
  <c r="I21" i="27" a="1"/>
  <c r="J35" i="20" a="1"/>
  <c r="J29" i="20" a="1"/>
  <c r="J19" i="20" a="1"/>
  <c r="J46" i="20" a="1"/>
  <c r="I24" i="29" a="1"/>
  <c r="I37" i="29" a="1"/>
  <c r="I40" i="29" a="1"/>
  <c r="I25" i="24" a="1"/>
  <c r="I32" i="24" a="1"/>
  <c r="I35" i="24" a="1"/>
  <c r="I44" i="24" a="1"/>
  <c r="J41" i="22" a="1"/>
  <c r="J29" i="22" a="1"/>
  <c r="J54" i="22" a="1"/>
  <c r="J20" i="21" a="1"/>
  <c r="J50" i="21" a="1"/>
  <c r="J26" i="21" a="1"/>
  <c r="J53" i="21" a="1"/>
  <c r="I19" i="25" a="1"/>
  <c r="I27" i="25" a="1"/>
  <c r="I15" i="25" a="1"/>
  <c r="J15" i="19" a="1"/>
  <c r="J19" i="19" a="1"/>
  <c r="J31" i="19" a="1"/>
  <c r="J29" i="19" a="1"/>
  <c r="I22" i="24" a="1"/>
  <c r="J43" i="22" a="1"/>
  <c r="J27" i="21" a="1"/>
  <c r="J29" i="21" a="1"/>
  <c r="I24" i="25" a="1"/>
  <c r="I46" i="25" a="1"/>
  <c r="J45" i="19" a="1"/>
  <c r="J23" i="19" a="1"/>
  <c r="I22" i="28" a="1"/>
  <c r="I15" i="27" a="1"/>
  <c r="I34" i="25" a="1"/>
  <c r="J50" i="9" a="1"/>
  <c r="J37" i="9" a="1"/>
  <c r="J30" i="23" a="1"/>
  <c r="J34" i="23" a="1"/>
  <c r="I46" i="26" a="1"/>
  <c r="I37" i="26" a="1"/>
  <c r="I50" i="27" a="1"/>
  <c r="I54" i="29" a="1"/>
  <c r="J29" i="9" a="1"/>
  <c r="J52" i="9" a="1"/>
  <c r="J22" i="9" a="1"/>
  <c r="J41" i="23" a="1"/>
  <c r="J45" i="23" a="1"/>
  <c r="J23" i="23" a="1"/>
  <c r="J40" i="23" a="1"/>
  <c r="I26" i="26" a="1"/>
  <c r="I15" i="26" a="1"/>
  <c r="I19" i="26" a="1"/>
  <c r="I32" i="28" a="1"/>
  <c r="I48" i="28" a="1"/>
  <c r="I52" i="28" a="1"/>
  <c r="I49" i="28" a="1"/>
  <c r="I17" i="27" a="1"/>
  <c r="I34" i="27" a="1"/>
  <c r="I16" i="27" a="1"/>
  <c r="J48" i="20" a="1"/>
  <c r="J37" i="20" a="1"/>
  <c r="J44" i="20" a="1"/>
  <c r="J32" i="20" a="1"/>
  <c r="I50" i="29" a="1"/>
  <c r="I18" i="29" a="1"/>
  <c r="I29" i="29" a="1"/>
  <c r="I39" i="24" a="1"/>
  <c r="I21" i="24" a="1"/>
  <c r="I34" i="24" a="1"/>
  <c r="J42" i="22" a="1"/>
  <c r="J37" i="22" a="1"/>
  <c r="J17" i="21" a="1"/>
  <c r="J37" i="21" a="1"/>
  <c r="I17" i="25" a="1"/>
  <c r="J21" i="19" a="1"/>
  <c r="J52" i="19" a="1"/>
  <c r="I49" i="26" a="1"/>
  <c r="J42" i="20" a="1"/>
  <c r="J40" i="20" a="1"/>
  <c r="I43" i="29" a="1"/>
  <c r="I35" i="29" a="1"/>
  <c r="I49" i="29" a="1"/>
  <c r="I24" i="24" a="1"/>
  <c r="J52" i="22" a="1"/>
  <c r="J18" i="21" a="1"/>
  <c r="I26" i="25" a="1"/>
  <c r="I32" i="26" a="1"/>
  <c r="I36" i="28" a="1"/>
  <c r="I35" i="27" a="1"/>
  <c r="J22" i="20" a="1"/>
  <c r="I39" i="29" a="1"/>
  <c r="J34" i="22" a="1"/>
  <c r="J46" i="21" a="1"/>
  <c r="J38" i="21" a="1"/>
  <c r="I48" i="25" a="1"/>
  <c r="I52" i="25" a="1"/>
  <c r="J16" i="19" a="1"/>
  <c r="J37" i="19" a="1"/>
  <c r="J32" i="9" a="1"/>
  <c r="I52" i="26" a="1"/>
  <c r="I52" i="26" l="1"/>
  <c r="J32" i="9"/>
  <c r="J37" i="19"/>
  <c r="J16" i="19"/>
  <c r="I52" i="25"/>
  <c r="I48" i="25"/>
  <c r="J38" i="21"/>
  <c r="J46" i="21"/>
  <c r="J34" i="22"/>
  <c r="I39" i="29"/>
  <c r="J22" i="20"/>
  <c r="I35" i="27"/>
  <c r="I36" i="28"/>
  <c r="I32" i="26"/>
  <c r="I26" i="25"/>
  <c r="J18" i="21"/>
  <c r="J52" i="22"/>
  <c r="I24" i="24"/>
  <c r="I49" i="29"/>
  <c r="I35" i="29"/>
  <c r="I43" i="29"/>
  <c r="J40" i="20"/>
  <c r="J42" i="20"/>
  <c r="I49" i="26"/>
  <c r="J52" i="19"/>
  <c r="J21" i="19"/>
  <c r="I17" i="25"/>
  <c r="J37" i="21"/>
  <c r="J17" i="21"/>
  <c r="J37" i="22"/>
  <c r="J42" i="22"/>
  <c r="I34" i="24"/>
  <c r="I21" i="24"/>
  <c r="I39" i="24"/>
  <c r="I29" i="29"/>
  <c r="I18" i="29"/>
  <c r="I50" i="29"/>
  <c r="J32" i="20"/>
  <c r="J44" i="20"/>
  <c r="J37" i="20"/>
  <c r="J48" i="20"/>
  <c r="I16" i="27"/>
  <c r="I34" i="27"/>
  <c r="I17" i="27"/>
  <c r="I49" i="28"/>
  <c r="I52" i="28"/>
  <c r="I48" i="28"/>
  <c r="I32" i="28"/>
  <c r="I19" i="26"/>
  <c r="I15" i="26"/>
  <c r="I26" i="26"/>
  <c r="J40" i="23"/>
  <c r="J23" i="23"/>
  <c r="J45" i="23"/>
  <c r="J41" i="23"/>
  <c r="J22" i="9"/>
  <c r="J52" i="9"/>
  <c r="J29" i="9"/>
  <c r="I54" i="29"/>
  <c r="I50" i="27"/>
  <c r="I37" i="26"/>
  <c r="I46" i="26"/>
  <c r="J34" i="23"/>
  <c r="J30" i="23"/>
  <c r="J37" i="9"/>
  <c r="J50" i="9"/>
  <c r="I34" i="25"/>
  <c r="I15" i="27"/>
  <c r="I22" i="28"/>
  <c r="J23" i="19"/>
  <c r="J45" i="19"/>
  <c r="I46" i="25"/>
  <c r="I24" i="25"/>
  <c r="J29" i="21"/>
  <c r="J27" i="21"/>
  <c r="J43" i="22"/>
  <c r="I22" i="24"/>
  <c r="J29" i="19"/>
  <c r="J31" i="19"/>
  <c r="J19" i="19"/>
  <c r="J15" i="19"/>
  <c r="I15" i="25"/>
  <c r="I27" i="25"/>
  <c r="I19" i="25"/>
  <c r="J53" i="21"/>
  <c r="J26" i="21"/>
  <c r="J50" i="21"/>
  <c r="J20" i="21"/>
  <c r="J54" i="22"/>
  <c r="J29" i="22"/>
  <c r="J41" i="22"/>
  <c r="I44" i="24"/>
  <c r="I35" i="24"/>
  <c r="I32" i="24"/>
  <c r="I25" i="24"/>
  <c r="I40" i="29"/>
  <c r="I37" i="29"/>
  <c r="I24" i="29"/>
  <c r="J46" i="20"/>
  <c r="J19" i="20"/>
  <c r="J29" i="20"/>
  <c r="J35" i="20"/>
  <c r="I21" i="27"/>
  <c r="I26" i="27"/>
  <c r="I51" i="27"/>
  <c r="I54" i="28"/>
  <c r="I26" i="28"/>
  <c r="I24" i="28"/>
  <c r="I41" i="28"/>
  <c r="I44" i="26"/>
  <c r="I43" i="26"/>
  <c r="I27" i="26"/>
  <c r="J42" i="23"/>
  <c r="J31" i="23"/>
  <c r="J47" i="23"/>
  <c r="J28" i="23"/>
  <c r="J20" i="9"/>
  <c r="J34" i="9"/>
  <c r="J53" i="9"/>
  <c r="J30" i="19"/>
  <c r="I25" i="27"/>
  <c r="J51" i="23"/>
  <c r="I45" i="25"/>
  <c r="J36" i="19"/>
  <c r="I20" i="25"/>
  <c r="J22" i="21"/>
  <c r="I46" i="29"/>
  <c r="I46" i="28"/>
  <c r="J19" i="23"/>
  <c r="J44" i="19"/>
  <c r="J39" i="19"/>
  <c r="J24" i="19"/>
  <c r="I54" i="25"/>
  <c r="J24" i="21"/>
  <c r="J40" i="22"/>
  <c r="I50" i="24"/>
  <c r="I23" i="24"/>
  <c r="I38" i="24"/>
  <c r="J20" i="20"/>
  <c r="I22" i="27"/>
  <c r="I23" i="28"/>
  <c r="I45" i="28"/>
  <c r="I16" i="28"/>
  <c r="I54" i="26"/>
  <c r="I47" i="26"/>
  <c r="J37" i="23"/>
  <c r="J27" i="23"/>
  <c r="J29" i="23"/>
  <c r="J38" i="23"/>
  <c r="J54" i="9"/>
  <c r="J23" i="9"/>
  <c r="J49" i="9"/>
  <c r="J42" i="19"/>
  <c r="J35" i="19"/>
  <c r="J54" i="19"/>
  <c r="J41" i="19"/>
  <c r="I49" i="25"/>
  <c r="I47" i="25"/>
  <c r="I33" i="25"/>
  <c r="J42" i="21"/>
  <c r="J23" i="21"/>
  <c r="J32" i="21"/>
  <c r="J28" i="21"/>
  <c r="J31" i="22"/>
  <c r="J50" i="22"/>
  <c r="J17" i="22"/>
  <c r="I43" i="24"/>
  <c r="I52" i="24"/>
  <c r="I31" i="24"/>
  <c r="I17" i="24"/>
  <c r="I28" i="29"/>
  <c r="I51" i="29"/>
  <c r="I22" i="29"/>
  <c r="J43" i="20"/>
  <c r="J28" i="20"/>
  <c r="J17" i="20"/>
  <c r="J53" i="20"/>
  <c r="I42" i="27"/>
  <c r="I53" i="27"/>
  <c r="I29" i="27"/>
  <c r="I19" i="28"/>
  <c r="I53" i="28"/>
  <c r="I30" i="28"/>
  <c r="I25" i="28"/>
  <c r="I51" i="26"/>
  <c r="I22" i="26"/>
  <c r="I48" i="26"/>
  <c r="J16" i="23"/>
  <c r="J39" i="23"/>
  <c r="J15" i="23"/>
  <c r="J46" i="23"/>
  <c r="J47" i="9"/>
  <c r="J21" i="9"/>
  <c r="J25" i="9"/>
  <c r="I34" i="28"/>
  <c r="J50" i="23"/>
  <c r="J42" i="9"/>
  <c r="J34" i="19"/>
  <c r="I31" i="25"/>
  <c r="J54" i="21"/>
  <c r="J34" i="21"/>
  <c r="J33" i="21"/>
  <c r="J25" i="22"/>
  <c r="J33" i="22"/>
  <c r="I53" i="24"/>
  <c r="I45" i="29"/>
  <c r="I23" i="29"/>
  <c r="I42" i="29"/>
  <c r="J21" i="20"/>
  <c r="J25" i="20"/>
  <c r="J34" i="20"/>
  <c r="I31" i="27"/>
  <c r="I20" i="27"/>
  <c r="I20" i="28"/>
  <c r="I38" i="26"/>
  <c r="J48" i="19"/>
  <c r="J18" i="19"/>
  <c r="J40" i="19"/>
  <c r="I36" i="25"/>
  <c r="I39" i="25"/>
  <c r="I43" i="25"/>
  <c r="J52" i="21"/>
  <c r="J44" i="21"/>
  <c r="J49" i="21"/>
  <c r="J35" i="22"/>
  <c r="J15" i="22"/>
  <c r="J45" i="22"/>
  <c r="I54" i="24"/>
  <c r="I33" i="24"/>
  <c r="I47" i="24"/>
  <c r="I30" i="29"/>
  <c r="I31" i="29"/>
  <c r="I26" i="29"/>
  <c r="J31" i="20"/>
  <c r="J41" i="20"/>
  <c r="J50" i="20"/>
  <c r="I38" i="27"/>
  <c r="I52" i="27"/>
  <c r="I27" i="27"/>
  <c r="I40" i="28"/>
  <c r="I17" i="28"/>
  <c r="I33" i="28"/>
  <c r="I28" i="26"/>
  <c r="I36" i="26"/>
  <c r="I18" i="26"/>
  <c r="J33" i="23"/>
  <c r="J54" i="23"/>
  <c r="J53" i="23"/>
  <c r="J19" i="9"/>
  <c r="J43" i="9"/>
  <c r="I44" i="25"/>
  <c r="J47" i="19"/>
  <c r="J43" i="19"/>
  <c r="J53" i="19"/>
  <c r="I28" i="25"/>
  <c r="I42" i="25"/>
  <c r="I16" i="25"/>
  <c r="I32" i="25"/>
  <c r="J43" i="21"/>
  <c r="J30" i="21"/>
  <c r="J39" i="21"/>
  <c r="J23" i="22"/>
  <c r="J20" i="22"/>
  <c r="J36" i="22"/>
  <c r="J48" i="22"/>
  <c r="I28" i="24"/>
  <c r="I37" i="24"/>
  <c r="I45" i="24"/>
  <c r="I53" i="29"/>
  <c r="I44" i="29"/>
  <c r="I36" i="29"/>
  <c r="I17" i="29"/>
  <c r="J15" i="20"/>
  <c r="J38" i="20"/>
  <c r="J36" i="20"/>
  <c r="I28" i="27"/>
  <c r="I45" i="27"/>
  <c r="I43" i="27"/>
  <c r="I39" i="27"/>
  <c r="I35" i="28"/>
  <c r="I50" i="28"/>
  <c r="I51" i="28"/>
  <c r="I24" i="26"/>
  <c r="I25" i="26"/>
  <c r="I29" i="26"/>
  <c r="I20" i="26"/>
  <c r="J44" i="23"/>
  <c r="J17" i="23"/>
  <c r="J43" i="23"/>
  <c r="J51" i="9"/>
  <c r="J26" i="9"/>
  <c r="J28" i="9"/>
  <c r="J44" i="9"/>
  <c r="J40" i="21"/>
  <c r="J45" i="20"/>
  <c r="J28" i="19"/>
  <c r="J26" i="22"/>
  <c r="I25" i="29"/>
  <c r="J39" i="20"/>
  <c r="I38" i="28"/>
  <c r="I31" i="26"/>
  <c r="J38" i="22"/>
  <c r="J24" i="22"/>
  <c r="I19" i="29"/>
  <c r="I48" i="27"/>
  <c r="I39" i="28"/>
  <c r="J52" i="23"/>
  <c r="I46" i="24"/>
  <c r="J53" i="22"/>
  <c r="I40" i="24"/>
  <c r="I41" i="29"/>
  <c r="J22" i="23"/>
  <c r="J17" i="19"/>
  <c r="J38" i="19"/>
  <c r="I40" i="25"/>
  <c r="I47" i="27"/>
  <c r="I40" i="26"/>
  <c r="J41" i="9"/>
  <c r="J46" i="19"/>
  <c r="J25" i="19"/>
  <c r="J51" i="19"/>
  <c r="I22" i="25"/>
  <c r="I53" i="25"/>
  <c r="I37" i="25"/>
  <c r="I30" i="25"/>
  <c r="J41" i="21"/>
  <c r="J36" i="21"/>
  <c r="J16" i="21"/>
  <c r="J32" i="22"/>
  <c r="J44" i="22"/>
  <c r="J21" i="22"/>
  <c r="J18" i="22"/>
  <c r="I42" i="24"/>
  <c r="I26" i="24"/>
  <c r="I41" i="24"/>
  <c r="I32" i="29"/>
  <c r="I34" i="29"/>
  <c r="I38" i="29"/>
  <c r="I20" i="29"/>
  <c r="J26" i="20"/>
  <c r="J51" i="20"/>
  <c r="J33" i="20"/>
  <c r="I24" i="27"/>
  <c r="I18" i="27"/>
  <c r="I36" i="27"/>
  <c r="I23" i="27"/>
  <c r="I43" i="28"/>
  <c r="I42" i="28"/>
  <c r="I21" i="28"/>
  <c r="I50" i="26"/>
  <c r="I23" i="26"/>
  <c r="I21" i="26"/>
  <c r="I33" i="26"/>
  <c r="J36" i="23"/>
  <c r="J25" i="23"/>
  <c r="J20" i="23"/>
  <c r="J24" i="9"/>
  <c r="J39" i="9"/>
  <c r="J46" i="9"/>
  <c r="J31" i="9"/>
  <c r="I25" i="25"/>
  <c r="J15" i="21"/>
  <c r="J27" i="22"/>
  <c r="J46" i="22"/>
  <c r="I51" i="24"/>
  <c r="J54" i="20"/>
  <c r="J27" i="19"/>
  <c r="I38" i="25"/>
  <c r="I51" i="25"/>
  <c r="J31" i="21"/>
  <c r="J47" i="22"/>
  <c r="I27" i="24"/>
  <c r="I16" i="29"/>
  <c r="J27" i="20"/>
  <c r="I18" i="28"/>
  <c r="I34" i="26"/>
  <c r="J38" i="9"/>
  <c r="J26" i="19"/>
  <c r="I41" i="25"/>
  <c r="J35" i="21"/>
  <c r="J39" i="22"/>
  <c r="J30" i="22"/>
  <c r="I20" i="24"/>
  <c r="I15" i="24"/>
  <c r="J49" i="20"/>
  <c r="I33" i="27"/>
  <c r="I29" i="28"/>
  <c r="I16" i="26"/>
  <c r="I35" i="26"/>
  <c r="J48" i="23"/>
  <c r="J40" i="9"/>
  <c r="J45" i="9"/>
  <c r="J36" i="9"/>
  <c r="J33" i="19"/>
  <c r="J20" i="19"/>
  <c r="J49" i="19"/>
  <c r="I29" i="25"/>
  <c r="I18" i="25"/>
  <c r="I23" i="25"/>
  <c r="J19" i="21"/>
  <c r="J21" i="21"/>
  <c r="J25" i="21"/>
  <c r="J22" i="22"/>
  <c r="J49" i="22"/>
  <c r="J16" i="22"/>
  <c r="I48" i="24"/>
  <c r="I29" i="24"/>
  <c r="I19" i="24"/>
  <c r="I21" i="29"/>
  <c r="I47" i="29"/>
  <c r="I27" i="29"/>
  <c r="J24" i="20"/>
  <c r="J47" i="20"/>
  <c r="J18" i="20"/>
  <c r="I54" i="27"/>
  <c r="I32" i="27"/>
  <c r="I46" i="27"/>
  <c r="I27" i="28"/>
  <c r="I31" i="28"/>
  <c r="I44" i="28"/>
  <c r="I45" i="26"/>
  <c r="I30" i="26"/>
  <c r="I17" i="26"/>
  <c r="J24" i="23"/>
  <c r="J35" i="23"/>
  <c r="J18" i="23"/>
  <c r="J18" i="9"/>
  <c r="J48" i="9"/>
  <c r="J27" i="9"/>
  <c r="J33" i="9"/>
  <c r="I30" i="24"/>
  <c r="I44" i="27"/>
  <c r="J17" i="9"/>
  <c r="I49" i="24"/>
  <c r="I33" i="29"/>
  <c r="J16" i="20"/>
  <c r="I37" i="27"/>
  <c r="I30" i="27"/>
  <c r="I19" i="27"/>
  <c r="I37" i="28"/>
  <c r="I42" i="26"/>
  <c r="J51" i="21"/>
  <c r="J49" i="23"/>
  <c r="J22" i="19"/>
  <c r="J32" i="19"/>
  <c r="J50" i="19"/>
  <c r="I21" i="25"/>
  <c r="I35" i="25"/>
  <c r="I50" i="25"/>
  <c r="J47" i="21"/>
  <c r="J48" i="21"/>
  <c r="J45" i="21"/>
  <c r="J28" i="22"/>
  <c r="J51" i="22"/>
  <c r="J19" i="22"/>
  <c r="I36" i="24"/>
  <c r="I16" i="24"/>
  <c r="I18" i="24"/>
  <c r="I48" i="29"/>
  <c r="I52" i="29"/>
  <c r="I15" i="29"/>
  <c r="J23" i="20"/>
  <c r="J52" i="20"/>
  <c r="J30" i="20"/>
  <c r="I41" i="27"/>
  <c r="I49" i="27"/>
  <c r="I40" i="27"/>
  <c r="I47" i="28"/>
  <c r="I28" i="28"/>
  <c r="I15" i="28"/>
  <c r="I53" i="26"/>
  <c r="I39" i="26"/>
  <c r="I41" i="26"/>
  <c r="J32" i="23"/>
  <c r="J26" i="23"/>
  <c r="J21" i="23"/>
  <c r="J16" i="9"/>
  <c r="J30" i="9"/>
  <c r="J35" i="9"/>
  <c r="J15" i="9"/>
  <c r="K12" i="19"/>
  <c r="L11" i="19"/>
  <c r="K12" i="21"/>
  <c r="L11" i="21"/>
  <c r="K11" i="24"/>
  <c r="J12" i="24"/>
  <c r="L11" i="20"/>
  <c r="K12" i="20"/>
  <c r="L11" i="23"/>
  <c r="K12" i="23"/>
  <c r="L11" i="9"/>
  <c r="K12" i="9"/>
  <c r="K11" i="28"/>
  <c r="J12" i="28"/>
  <c r="K11" i="25"/>
  <c r="J12" i="25"/>
  <c r="L11" i="22"/>
  <c r="K12" i="22"/>
  <c r="K11" i="29"/>
  <c r="J12" i="29"/>
  <c r="K11" i="27"/>
  <c r="J12" i="27"/>
  <c r="K11" i="26"/>
  <c r="J12" i="26"/>
  <c r="K50" i="19" a="1"/>
  <c r="J37" i="28" a="1"/>
  <c r="J49" i="25" a="1"/>
  <c r="J16" i="27" a="1"/>
  <c r="J25" i="27" a="1"/>
  <c r="J24" i="26" a="1"/>
  <c r="K37" i="23" a="1"/>
  <c r="J29" i="28" a="1"/>
  <c r="K17" i="22" a="1"/>
  <c r="J29" i="29" a="1"/>
  <c r="J39" i="27" a="1"/>
  <c r="K48" i="19" a="1"/>
  <c r="K51" i="19" a="1"/>
  <c r="K45" i="19" a="1"/>
  <c r="K39" i="19" a="1"/>
  <c r="K20" i="21" a="1"/>
  <c r="K29" i="21" a="1"/>
  <c r="K48" i="21" a="1"/>
  <c r="J25" i="24" a="1"/>
  <c r="J36" i="24" a="1"/>
  <c r="J21" i="24" a="1"/>
  <c r="J34" i="24" a="1"/>
  <c r="K18" i="20" a="1"/>
  <c r="K52" i="20" a="1"/>
  <c r="K46" i="20" a="1"/>
  <c r="K46" i="23" a="1"/>
  <c r="K38" i="23" a="1"/>
  <c r="K45" i="23" a="1"/>
  <c r="K21" i="23" a="1"/>
  <c r="K15" i="9" a="1"/>
  <c r="K16" i="9" a="1"/>
  <c r="K31" i="9" a="1"/>
  <c r="J19" i="28" a="1"/>
  <c r="J34" i="28" a="1"/>
  <c r="J17" i="28" a="1"/>
  <c r="J53" i="28" a="1"/>
  <c r="J38" i="25" a="1"/>
  <c r="J50" i="25" a="1"/>
  <c r="J52" i="25" a="1"/>
  <c r="K25" i="22" a="1"/>
  <c r="K27" i="22" a="1"/>
  <c r="K24" i="22" a="1"/>
  <c r="K42" i="22" a="1"/>
  <c r="J54" i="29" a="1"/>
  <c r="J36" i="29" a="1"/>
  <c r="J18" i="29" a="1"/>
  <c r="J43" i="27" a="1"/>
  <c r="K46" i="19" a="1"/>
  <c r="K41" i="19" a="1"/>
  <c r="K31" i="19" a="1"/>
  <c r="K38" i="19" a="1"/>
  <c r="K31" i="21" a="1"/>
  <c r="K18" i="21" a="1"/>
  <c r="K16" i="21" a="1"/>
  <c r="J42" i="24" a="1"/>
  <c r="J31" i="24" a="1"/>
  <c r="J46" i="24" a="1"/>
  <c r="J37" i="24" a="1"/>
  <c r="K26" i="20" a="1"/>
  <c r="K36" i="20" a="1"/>
  <c r="K30" i="20" a="1"/>
  <c r="K49" i="23" a="1"/>
  <c r="K26" i="23" a="1"/>
  <c r="K39" i="23" a="1"/>
  <c r="K40" i="23" a="1"/>
  <c r="K51" i="9" a="1"/>
  <c r="K50" i="9" a="1"/>
  <c r="K45" i="9" a="1"/>
  <c r="J30" i="28" a="1"/>
  <c r="J50" i="28" a="1"/>
  <c r="J25" i="28" a="1"/>
  <c r="J44" i="28" a="1"/>
  <c r="J25" i="25" a="1"/>
  <c r="J19" i="25" a="1"/>
  <c r="J27" i="25" a="1"/>
  <c r="K50" i="22" a="1"/>
  <c r="K39" i="22" a="1"/>
  <c r="K28" i="22" a="1"/>
  <c r="K40" i="22" a="1"/>
  <c r="J20" i="29" a="1"/>
  <c r="J24" i="29" a="1"/>
  <c r="J49" i="29" a="1"/>
  <c r="J18" i="27" a="1"/>
  <c r="J15" i="27" a="1"/>
  <c r="J27" i="27" a="1"/>
  <c r="J41" i="27" a="1"/>
  <c r="J51" i="26" a="1"/>
  <c r="J22" i="26" a="1"/>
  <c r="J45" i="26" a="1"/>
  <c r="K46" i="21" a="1"/>
  <c r="J35" i="24" a="1"/>
  <c r="K37" i="20" a="1"/>
  <c r="K15" i="23" a="1"/>
  <c r="K54" i="23" a="1"/>
  <c r="K25" i="23" a="1"/>
  <c r="K35" i="9" a="1"/>
  <c r="J49" i="28" a="1"/>
  <c r="J26" i="25" a="1"/>
  <c r="K44" i="22" a="1"/>
  <c r="K49" i="22" a="1"/>
  <c r="K54" i="22" a="1"/>
  <c r="J21" i="29" a="1"/>
  <c r="J51" i="29" a="1"/>
  <c r="J21" i="27" a="1"/>
  <c r="J24" i="27" a="1"/>
  <c r="J23" i="27" a="1"/>
  <c r="J44" i="26" a="1"/>
  <c r="K30" i="19" a="1"/>
  <c r="K21" i="21" a="1"/>
  <c r="J47" i="24" a="1"/>
  <c r="K33" i="20" a="1"/>
  <c r="K20" i="23" a="1"/>
  <c r="J32" i="28" a="1"/>
  <c r="J30" i="25" a="1"/>
  <c r="K44" i="19" a="1"/>
  <c r="K17" i="19" a="1"/>
  <c r="K33" i="19" a="1"/>
  <c r="K24" i="19" a="1"/>
  <c r="K27" i="21" a="1"/>
  <c r="K42" i="21" a="1"/>
  <c r="J40" i="24" a="1"/>
  <c r="J18" i="24" a="1"/>
  <c r="J50" i="24" a="1"/>
  <c r="K34" i="20" a="1"/>
  <c r="K22" i="20" a="1"/>
  <c r="K36" i="23" a="1"/>
  <c r="K19" i="9" a="1"/>
  <c r="K34" i="9" a="1"/>
  <c r="J20" i="28" a="1"/>
  <c r="J39" i="28" a="1"/>
  <c r="J38" i="28" a="1"/>
  <c r="J18" i="25" a="1"/>
  <c r="J51" i="25" a="1"/>
  <c r="K46" i="22" a="1"/>
  <c r="J46" i="29" a="1"/>
  <c r="J36" i="27" a="1"/>
  <c r="J54" i="26" a="1"/>
  <c r="J29" i="26" a="1"/>
  <c r="J43" i="25" a="1"/>
  <c r="J26" i="27" a="1"/>
  <c r="K54" i="19" a="1"/>
  <c r="K21" i="19" a="1"/>
  <c r="K27" i="19" a="1"/>
  <c r="K15" i="21" a="1"/>
  <c r="K44" i="21" a="1"/>
  <c r="J15" i="24" a="1"/>
  <c r="J20" i="24" a="1"/>
  <c r="K24" i="23" a="1"/>
  <c r="K39" i="9" a="1"/>
  <c r="K18" i="22" a="1"/>
  <c r="J33" i="26" a="1"/>
  <c r="K32" i="19" a="1"/>
  <c r="K37" i="19" a="1"/>
  <c r="K43" i="19" a="1"/>
  <c r="K37" i="21" a="1"/>
  <c r="K51" i="21" a="1"/>
  <c r="K17" i="21" a="1"/>
  <c r="J24" i="24" a="1"/>
  <c r="J32" i="24" a="1"/>
  <c r="J44" i="24" a="1"/>
  <c r="K39" i="20" a="1"/>
  <c r="K44" i="20" a="1"/>
  <c r="K15" i="20" a="1"/>
  <c r="K27" i="23" a="1"/>
  <c r="K32" i="23" a="1"/>
  <c r="K31" i="23" a="1"/>
  <c r="K23" i="9" a="1"/>
  <c r="K54" i="9" a="1"/>
  <c r="K49" i="9" a="1"/>
  <c r="J35" i="28" a="1"/>
  <c r="J45" i="28" a="1"/>
  <c r="J31" i="28" a="1"/>
  <c r="J46" i="25" a="1"/>
  <c r="J16" i="25" a="1"/>
  <c r="J17" i="25" a="1"/>
  <c r="K20" i="22" a="1"/>
  <c r="K34" i="22" a="1"/>
  <c r="K45" i="22" a="1"/>
  <c r="J40" i="29" a="1"/>
  <c r="J16" i="29" a="1"/>
  <c r="J38" i="29" a="1"/>
  <c r="J35" i="27" a="1"/>
  <c r="J47" i="27" a="1"/>
  <c r="J51" i="27" a="1"/>
  <c r="J50" i="26" a="1"/>
  <c r="J16" i="26" a="1"/>
  <c r="J49" i="26" a="1"/>
  <c r="J45" i="24" a="1"/>
  <c r="K18" i="23" a="1"/>
  <c r="K43" i="23" a="1"/>
  <c r="K30" i="9" a="1"/>
  <c r="J32" i="25" a="1"/>
  <c r="K38" i="22" a="1"/>
  <c r="J30" i="29" a="1"/>
  <c r="J50" i="29" a="1"/>
  <c r="J37" i="29" a="1"/>
  <c r="J28" i="27" a="1"/>
  <c r="J38" i="27" a="1"/>
  <c r="J36" i="26" a="1"/>
  <c r="K49" i="21" a="1"/>
  <c r="J19" i="24" a="1"/>
  <c r="K43" i="20" a="1"/>
  <c r="K25" i="20" a="1"/>
  <c r="K30" i="23" a="1"/>
  <c r="K47" i="9" a="1"/>
  <c r="J16" i="28" a="1"/>
  <c r="J48" i="25" a="1"/>
  <c r="J34" i="29" a="1"/>
  <c r="J47" i="29" a="1"/>
  <c r="J37" i="27" a="1"/>
  <c r="J15" i="26" a="1"/>
  <c r="J27" i="26" a="1"/>
  <c r="K52" i="23" a="1"/>
  <c r="J21" i="28" a="1"/>
  <c r="J15" i="28" a="1"/>
  <c r="J24" i="25" a="1"/>
  <c r="J25" i="29" a="1"/>
  <c r="K32" i="21" a="1"/>
  <c r="J38" i="24" a="1"/>
  <c r="K27" i="20" a="1"/>
  <c r="K53" i="23" a="1"/>
  <c r="K28" i="9" a="1"/>
  <c r="J40" i="28" a="1"/>
  <c r="K41" i="22" a="1"/>
  <c r="J29" i="27" a="1"/>
  <c r="J18" i="26" a="1"/>
  <c r="J42" i="27" a="1"/>
  <c r="K33" i="23" a="1"/>
  <c r="J47" i="28" a="1"/>
  <c r="K26" i="22" a="1"/>
  <c r="J22" i="27" a="1"/>
  <c r="K47" i="19" a="1"/>
  <c r="K35" i="19" a="1"/>
  <c r="K28" i="19" a="1"/>
  <c r="K36" i="21" a="1"/>
  <c r="K43" i="21" a="1"/>
  <c r="K50" i="21" a="1"/>
  <c r="J23" i="24" a="1"/>
  <c r="J28" i="24" a="1"/>
  <c r="K23" i="20" a="1"/>
  <c r="K38" i="20" a="1"/>
  <c r="K48" i="20" a="1"/>
  <c r="K16" i="23" a="1"/>
  <c r="K33" i="9" a="1"/>
  <c r="K38" i="9" a="1"/>
  <c r="K52" i="9" a="1"/>
  <c r="J27" i="28" a="1"/>
  <c r="J36" i="28" a="1"/>
  <c r="J22" i="28" a="1"/>
  <c r="J21" i="25" a="1"/>
  <c r="J54" i="25" a="1"/>
  <c r="K35" i="22" a="1"/>
  <c r="K31" i="22" a="1"/>
  <c r="J44" i="27" a="1"/>
  <c r="J19" i="26" a="1"/>
  <c r="J37" i="26" a="1"/>
  <c r="J33" i="24" a="1"/>
  <c r="K29" i="20" a="1"/>
  <c r="K35" i="20" a="1"/>
  <c r="K22" i="9" a="1"/>
  <c r="J29" i="25" a="1"/>
  <c r="K51" i="22" a="1"/>
  <c r="K40" i="19" a="1"/>
  <c r="J51" i="24" a="1"/>
  <c r="K53" i="20" a="1"/>
  <c r="K28" i="23" a="1"/>
  <c r="K21" i="9" a="1"/>
  <c r="J26" i="28" a="1"/>
  <c r="J15" i="25" a="1"/>
  <c r="J27" i="29" a="1"/>
  <c r="J52" i="27" a="1"/>
  <c r="J41" i="26" a="1"/>
  <c r="J52" i="26" a="1"/>
  <c r="J30" i="27" a="1"/>
  <c r="K50" i="20" a="1"/>
  <c r="J42" i="28" a="1"/>
  <c r="J17" i="29" a="1"/>
  <c r="K16" i="19" a="1"/>
  <c r="K52" i="19" a="1"/>
  <c r="K22" i="19" a="1"/>
  <c r="K34" i="21" a="1"/>
  <c r="K23" i="21" a="1"/>
  <c r="K47" i="21" a="1"/>
  <c r="J41" i="24" a="1"/>
  <c r="K19" i="20" a="1"/>
  <c r="K22" i="23" a="1"/>
  <c r="K41" i="23" a="1"/>
  <c r="K42" i="9" a="1"/>
  <c r="K26" i="9" a="1"/>
  <c r="K36" i="9" a="1"/>
  <c r="J28" i="28" a="1"/>
  <c r="J41" i="28" a="1"/>
  <c r="J20" i="25" a="1"/>
  <c r="J47" i="25" a="1"/>
  <c r="J39" i="25" a="1"/>
  <c r="K47" i="22" a="1"/>
  <c r="K23" i="22" a="1"/>
  <c r="K43" i="22" a="1"/>
  <c r="J52" i="29" a="1"/>
  <c r="J48" i="29" a="1"/>
  <c r="J40" i="27" a="1"/>
  <c r="J45" i="27" a="1"/>
  <c r="J30" i="26" a="1"/>
  <c r="J48" i="26" a="1"/>
  <c r="K45" i="21" a="1"/>
  <c r="K49" i="20" a="1"/>
  <c r="K50" i="23" a="1"/>
  <c r="K51" i="23" a="1"/>
  <c r="K37" i="22" a="1"/>
  <c r="K19" i="22" a="1"/>
  <c r="J53" i="29" a="1"/>
  <c r="J43" i="26" a="1"/>
  <c r="K28" i="20" a="1"/>
  <c r="K48" i="9" a="1"/>
  <c r="J28" i="25" a="1"/>
  <c r="J39" i="29" a="1"/>
  <c r="J46" i="26" a="1"/>
  <c r="K26" i="19" a="1"/>
  <c r="K20" i="19" a="1"/>
  <c r="K23" i="19" a="1"/>
  <c r="K30" i="21" a="1"/>
  <c r="K53" i="21" a="1"/>
  <c r="K26" i="21" a="1"/>
  <c r="K54" i="21" a="1"/>
  <c r="J49" i="24" a="1"/>
  <c r="J48" i="24" a="1"/>
  <c r="J27" i="24" a="1"/>
  <c r="K51" i="20" a="1"/>
  <c r="K20" i="20" a="1"/>
  <c r="K54" i="20" a="1"/>
  <c r="K42" i="20" a="1"/>
  <c r="K47" i="23" a="1"/>
  <c r="K17" i="23" a="1"/>
  <c r="K35" i="23" a="1"/>
  <c r="K46" i="9" a="1"/>
  <c r="K20" i="9" a="1"/>
  <c r="K32" i="9" a="1"/>
  <c r="K43" i="9" a="1"/>
  <c r="J33" i="28" a="1"/>
  <c r="J54" i="28" a="1"/>
  <c r="J52" i="28" a="1"/>
  <c r="J23" i="25" a="1"/>
  <c r="J53" i="25" a="1"/>
  <c r="J45" i="25" a="1"/>
  <c r="J41" i="25" a="1"/>
  <c r="K30" i="22" a="1"/>
  <c r="K48" i="22" a="1"/>
  <c r="K52" i="22" a="1"/>
  <c r="J35" i="29" a="1"/>
  <c r="J15" i="29" a="1"/>
  <c r="J42" i="29" a="1"/>
  <c r="J31" i="29" a="1"/>
  <c r="J50" i="27" a="1"/>
  <c r="J33" i="27" a="1"/>
  <c r="J54" i="27" a="1"/>
  <c r="J23" i="26" a="1"/>
  <c r="J26" i="26" a="1"/>
  <c r="J20" i="26" a="1"/>
  <c r="J34" i="26" a="1"/>
  <c r="K15" i="19" a="1"/>
  <c r="K24" i="21" a="1"/>
  <c r="J17" i="24" a="1"/>
  <c r="J30" i="24" a="1"/>
  <c r="J26" i="24" a="1"/>
  <c r="K32" i="20" a="1"/>
  <c r="K53" i="9" a="1"/>
  <c r="J44" i="29" a="1"/>
  <c r="J32" i="27" a="1"/>
  <c r="K22" i="21" a="1"/>
  <c r="J29" i="24" a="1"/>
  <c r="K47" i="20" a="1"/>
  <c r="K34" i="23" a="1"/>
  <c r="J47" i="26" a="1"/>
  <c r="J54" i="24" a="1"/>
  <c r="K27" i="9" a="1"/>
  <c r="K33" i="22" a="1"/>
  <c r="J31" i="27" a="1"/>
  <c r="K18" i="19" a="1"/>
  <c r="K36" i="19" a="1"/>
  <c r="K25" i="19" a="1"/>
  <c r="K41" i="21" a="1"/>
  <c r="K52" i="21" a="1"/>
  <c r="K40" i="21" a="1"/>
  <c r="K19" i="21" a="1"/>
  <c r="J22" i="24" a="1"/>
  <c r="J39" i="24" a="1"/>
  <c r="J53" i="24" a="1"/>
  <c r="K16" i="20" a="1"/>
  <c r="K17" i="20" a="1"/>
  <c r="K40" i="20" a="1"/>
  <c r="K41" i="20" a="1"/>
  <c r="K44" i="23" a="1"/>
  <c r="K48" i="23" a="1"/>
  <c r="K29" i="23" a="1"/>
  <c r="K40" i="9" a="1"/>
  <c r="K18" i="9" a="1"/>
  <c r="K44" i="9" a="1"/>
  <c r="K24" i="9" a="1"/>
  <c r="J46" i="28" a="1"/>
  <c r="J48" i="28" a="1"/>
  <c r="J23" i="28" a="1"/>
  <c r="J35" i="25" a="1"/>
  <c r="J37" i="25" a="1"/>
  <c r="J42" i="25" a="1"/>
  <c r="J33" i="25" a="1"/>
  <c r="K15" i="22" a="1"/>
  <c r="K53" i="22" a="1"/>
  <c r="K29" i="22" a="1"/>
  <c r="J26" i="29" a="1"/>
  <c r="J45" i="29" a="1"/>
  <c r="J23" i="29" a="1"/>
  <c r="J41" i="29" a="1"/>
  <c r="J46" i="27" a="1"/>
  <c r="J19" i="27" a="1"/>
  <c r="J17" i="27" a="1"/>
  <c r="J40" i="26" a="1"/>
  <c r="J38" i="26" a="1"/>
  <c r="J21" i="26" a="1"/>
  <c r="J39" i="26" a="1"/>
  <c r="K17" i="9" a="1"/>
  <c r="J24" i="28" a="1"/>
  <c r="J31" i="25" a="1"/>
  <c r="K21" i="22" a="1"/>
  <c r="J33" i="29" a="1"/>
  <c r="J22" i="29" a="1"/>
  <c r="J20" i="27" a="1"/>
  <c r="J34" i="27" a="1"/>
  <c r="J31" i="26" a="1"/>
  <c r="J53" i="26" a="1"/>
  <c r="J17" i="26" a="1"/>
  <c r="K53" i="19" a="1"/>
  <c r="K39" i="21" a="1"/>
  <c r="K41" i="9" a="1"/>
  <c r="J36" i="25" a="1"/>
  <c r="K16" i="22" a="1"/>
  <c r="J19" i="29" a="1"/>
  <c r="K19" i="19" a="1"/>
  <c r="K34" i="19" a="1"/>
  <c r="K49" i="19" a="1"/>
  <c r="K28" i="21" a="1"/>
  <c r="K33" i="21" a="1"/>
  <c r="K35" i="21" a="1"/>
  <c r="K38" i="21" a="1"/>
  <c r="J16" i="24" a="1"/>
  <c r="J43" i="24" a="1"/>
  <c r="J52" i="24" a="1"/>
  <c r="K45" i="20" a="1"/>
  <c r="K21" i="20" a="1"/>
  <c r="K31" i="20" a="1"/>
  <c r="K24" i="20" a="1"/>
  <c r="K19" i="23" a="1"/>
  <c r="K42" i="23" a="1"/>
  <c r="K23" i="23" a="1"/>
  <c r="K37" i="9" a="1"/>
  <c r="K29" i="9" a="1"/>
  <c r="J51" i="28" a="1"/>
  <c r="J18" i="28" a="1"/>
  <c r="J40" i="25" a="1"/>
  <c r="J34" i="25" a="1"/>
  <c r="J22" i="25" a="1"/>
  <c r="K32" i="22" a="1"/>
  <c r="K22" i="22" a="1"/>
  <c r="J32" i="29" a="1"/>
  <c r="J43" i="29" a="1"/>
  <c r="J53" i="27" a="1"/>
  <c r="J28" i="26" a="1"/>
  <c r="K29" i="19" a="1"/>
  <c r="K42" i="19" a="1"/>
  <c r="K25" i="21" a="1"/>
  <c r="K25" i="9" a="1"/>
  <c r="J43" i="28" a="1"/>
  <c r="J44" i="25" a="1"/>
  <c r="K36" i="22" a="1"/>
  <c r="J28" i="29" a="1"/>
  <c r="J48" i="27" a="1"/>
  <c r="J49" i="27" a="1"/>
  <c r="J25" i="26" a="1"/>
  <c r="J42" i="26" a="1"/>
  <c r="J32" i="26" a="1"/>
  <c r="J35" i="26" a="1"/>
  <c r="J35" i="26" l="1"/>
  <c r="J32" i="26"/>
  <c r="J42" i="26"/>
  <c r="J25" i="26"/>
  <c r="J49" i="27"/>
  <c r="J48" i="27"/>
  <c r="J28" i="29"/>
  <c r="K36" i="22"/>
  <c r="J44" i="25"/>
  <c r="J43" i="28"/>
  <c r="K25" i="9"/>
  <c r="K25" i="21"/>
  <c r="K42" i="19"/>
  <c r="K29" i="19"/>
  <c r="J28" i="26"/>
  <c r="J53" i="27"/>
  <c r="J43" i="29"/>
  <c r="J32" i="29"/>
  <c r="K22" i="22"/>
  <c r="K32" i="22"/>
  <c r="J22" i="25"/>
  <c r="J34" i="25"/>
  <c r="J40" i="25"/>
  <c r="J18" i="28"/>
  <c r="J51" i="28"/>
  <c r="K29" i="9"/>
  <c r="K37" i="9"/>
  <c r="K23" i="23"/>
  <c r="K42" i="23"/>
  <c r="K19" i="23"/>
  <c r="K24" i="20"/>
  <c r="K31" i="20"/>
  <c r="K21" i="20"/>
  <c r="K45" i="20"/>
  <c r="J52" i="24"/>
  <c r="J43" i="24"/>
  <c r="J16" i="24"/>
  <c r="K38" i="21"/>
  <c r="K35" i="21"/>
  <c r="K33" i="21"/>
  <c r="K28" i="21"/>
  <c r="K49" i="19"/>
  <c r="K34" i="19"/>
  <c r="K19" i="19"/>
  <c r="J19" i="29"/>
  <c r="K16" i="22"/>
  <c r="J36" i="25"/>
  <c r="K41" i="9"/>
  <c r="K39" i="21"/>
  <c r="K53" i="19"/>
  <c r="J17" i="26"/>
  <c r="J53" i="26"/>
  <c r="J31" i="26"/>
  <c r="J34" i="27"/>
  <c r="J20" i="27"/>
  <c r="J22" i="29"/>
  <c r="J33" i="29"/>
  <c r="K21" i="22"/>
  <c r="J31" i="25"/>
  <c r="J24" i="28"/>
  <c r="K17" i="9"/>
  <c r="J39" i="26"/>
  <c r="J21" i="26"/>
  <c r="J38" i="26"/>
  <c r="J40" i="26"/>
  <c r="J17" i="27"/>
  <c r="J19" i="27"/>
  <c r="J46" i="27"/>
  <c r="J41" i="29"/>
  <c r="J23" i="29"/>
  <c r="J45" i="29"/>
  <c r="J26" i="29"/>
  <c r="K29" i="22"/>
  <c r="K53" i="22"/>
  <c r="K15" i="22"/>
  <c r="J33" i="25"/>
  <c r="J42" i="25"/>
  <c r="J37" i="25"/>
  <c r="J35" i="25"/>
  <c r="J23" i="28"/>
  <c r="J48" i="28"/>
  <c r="J46" i="28"/>
  <c r="K24" i="9"/>
  <c r="K44" i="9"/>
  <c r="K18" i="9"/>
  <c r="K40" i="9"/>
  <c r="K29" i="23"/>
  <c r="K48" i="23"/>
  <c r="K44" i="23"/>
  <c r="K41" i="20"/>
  <c r="K40" i="20"/>
  <c r="K17" i="20"/>
  <c r="K16" i="20"/>
  <c r="J53" i="24"/>
  <c r="J39" i="24"/>
  <c r="J22" i="24"/>
  <c r="K19" i="21"/>
  <c r="K40" i="21"/>
  <c r="K52" i="21"/>
  <c r="K41" i="21"/>
  <c r="K25" i="19"/>
  <c r="K36" i="19"/>
  <c r="K18" i="19"/>
  <c r="J31" i="27"/>
  <c r="K33" i="22"/>
  <c r="K27" i="9"/>
  <c r="J54" i="24"/>
  <c r="J47" i="26"/>
  <c r="K34" i="23"/>
  <c r="K47" i="20"/>
  <c r="J29" i="24"/>
  <c r="K22" i="21"/>
  <c r="J32" i="27"/>
  <c r="J44" i="29"/>
  <c r="K53" i="9"/>
  <c r="K32" i="20"/>
  <c r="J26" i="24"/>
  <c r="J30" i="24"/>
  <c r="J17" i="24"/>
  <c r="K24" i="21"/>
  <c r="K15" i="19"/>
  <c r="J34" i="26"/>
  <c r="J20" i="26"/>
  <c r="J26" i="26"/>
  <c r="J23" i="26"/>
  <c r="J54" i="27"/>
  <c r="J33" i="27"/>
  <c r="J50" i="27"/>
  <c r="J31" i="29"/>
  <c r="J42" i="29"/>
  <c r="J15" i="29"/>
  <c r="J35" i="29"/>
  <c r="K52" i="22"/>
  <c r="K48" i="22"/>
  <c r="K30" i="22"/>
  <c r="J41" i="25"/>
  <c r="J45" i="25"/>
  <c r="J53" i="25"/>
  <c r="J23" i="25"/>
  <c r="J52" i="28"/>
  <c r="J54" i="28"/>
  <c r="J33" i="28"/>
  <c r="K43" i="9"/>
  <c r="K32" i="9"/>
  <c r="K20" i="9"/>
  <c r="K46" i="9"/>
  <c r="K35" i="23"/>
  <c r="K17" i="23"/>
  <c r="K47" i="23"/>
  <c r="K42" i="20"/>
  <c r="K54" i="20"/>
  <c r="K20" i="20"/>
  <c r="K51" i="20"/>
  <c r="J27" i="24"/>
  <c r="J48" i="24"/>
  <c r="J49" i="24"/>
  <c r="K54" i="21"/>
  <c r="K26" i="21"/>
  <c r="K53" i="21"/>
  <c r="K30" i="21"/>
  <c r="K23" i="19"/>
  <c r="K20" i="19"/>
  <c r="K26" i="19"/>
  <c r="J46" i="26"/>
  <c r="J39" i="29"/>
  <c r="J28" i="25"/>
  <c r="K48" i="9"/>
  <c r="K28" i="20"/>
  <c r="J43" i="26"/>
  <c r="J53" i="29"/>
  <c r="K19" i="22"/>
  <c r="K37" i="22"/>
  <c r="K51" i="23"/>
  <c r="K50" i="23"/>
  <c r="K49" i="20"/>
  <c r="K45" i="21"/>
  <c r="J48" i="26"/>
  <c r="J30" i="26"/>
  <c r="J45" i="27"/>
  <c r="J40" i="27"/>
  <c r="J48" i="29"/>
  <c r="J52" i="29"/>
  <c r="K43" i="22"/>
  <c r="K23" i="22"/>
  <c r="K47" i="22"/>
  <c r="J39" i="25"/>
  <c r="J47" i="25"/>
  <c r="J20" i="25"/>
  <c r="J41" i="28"/>
  <c r="J28" i="28"/>
  <c r="K36" i="9"/>
  <c r="K26" i="9"/>
  <c r="K42" i="9"/>
  <c r="K41" i="23"/>
  <c r="K22" i="23"/>
  <c r="K19" i="20"/>
  <c r="J41" i="24"/>
  <c r="K47" i="21"/>
  <c r="K23" i="21"/>
  <c r="K34" i="21"/>
  <c r="K22" i="19"/>
  <c r="K52" i="19"/>
  <c r="K16" i="19"/>
  <c r="J17" i="29"/>
  <c r="J42" i="28"/>
  <c r="K50" i="20"/>
  <c r="J30" i="27"/>
  <c r="J52" i="26"/>
  <c r="J41" i="26"/>
  <c r="J52" i="27"/>
  <c r="J27" i="29"/>
  <c r="J15" i="25"/>
  <c r="J26" i="28"/>
  <c r="K21" i="9"/>
  <c r="K28" i="23"/>
  <c r="K53" i="20"/>
  <c r="J51" i="24"/>
  <c r="K40" i="19"/>
  <c r="K51" i="22"/>
  <c r="J29" i="25"/>
  <c r="K22" i="9"/>
  <c r="K35" i="20"/>
  <c r="K29" i="20"/>
  <c r="J33" i="24"/>
  <c r="J37" i="26"/>
  <c r="J19" i="26"/>
  <c r="J44" i="27"/>
  <c r="K31" i="22"/>
  <c r="K35" i="22"/>
  <c r="J54" i="25"/>
  <c r="J21" i="25"/>
  <c r="J22" i="28"/>
  <c r="J36" i="28"/>
  <c r="J27" i="28"/>
  <c r="K52" i="9"/>
  <c r="K38" i="9"/>
  <c r="K33" i="9"/>
  <c r="K16" i="23"/>
  <c r="K48" i="20"/>
  <c r="K38" i="20"/>
  <c r="K23" i="20"/>
  <c r="J28" i="24"/>
  <c r="J23" i="24"/>
  <c r="K50" i="21"/>
  <c r="K43" i="21"/>
  <c r="K36" i="21"/>
  <c r="K28" i="19"/>
  <c r="K35" i="19"/>
  <c r="K47" i="19"/>
  <c r="J22" i="27"/>
  <c r="K26" i="22"/>
  <c r="J47" i="28"/>
  <c r="K33" i="23"/>
  <c r="J42" i="27"/>
  <c r="J18" i="26"/>
  <c r="J29" i="27"/>
  <c r="K41" i="22"/>
  <c r="J40" i="28"/>
  <c r="K28" i="9"/>
  <c r="K53" i="23"/>
  <c r="K27" i="20"/>
  <c r="J38" i="24"/>
  <c r="K32" i="21"/>
  <c r="J25" i="29"/>
  <c r="J24" i="25"/>
  <c r="J15" i="28"/>
  <c r="J21" i="28"/>
  <c r="K52" i="23"/>
  <c r="J27" i="26"/>
  <c r="J15" i="26"/>
  <c r="J37" i="27"/>
  <c r="J47" i="29"/>
  <c r="J34" i="29"/>
  <c r="J48" i="25"/>
  <c r="J16" i="28"/>
  <c r="K47" i="9"/>
  <c r="K30" i="23"/>
  <c r="K25" i="20"/>
  <c r="K43" i="20"/>
  <c r="J19" i="24"/>
  <c r="K49" i="21"/>
  <c r="J36" i="26"/>
  <c r="J38" i="27"/>
  <c r="J28" i="27"/>
  <c r="J37" i="29"/>
  <c r="J50" i="29"/>
  <c r="J30" i="29"/>
  <c r="K38" i="22"/>
  <c r="J32" i="25"/>
  <c r="K30" i="9"/>
  <c r="K43" i="23"/>
  <c r="K18" i="23"/>
  <c r="J45" i="24"/>
  <c r="J49" i="26"/>
  <c r="J16" i="26"/>
  <c r="J50" i="26"/>
  <c r="J51" i="27"/>
  <c r="J47" i="27"/>
  <c r="J35" i="27"/>
  <c r="J38" i="29"/>
  <c r="J16" i="29"/>
  <c r="J40" i="29"/>
  <c r="K45" i="22"/>
  <c r="K34" i="22"/>
  <c r="K20" i="22"/>
  <c r="J17" i="25"/>
  <c r="J16" i="25"/>
  <c r="J46" i="25"/>
  <c r="J31" i="28"/>
  <c r="J45" i="28"/>
  <c r="J35" i="28"/>
  <c r="K49" i="9"/>
  <c r="K54" i="9"/>
  <c r="K23" i="9"/>
  <c r="K31" i="23"/>
  <c r="K32" i="23"/>
  <c r="K27" i="23"/>
  <c r="K15" i="20"/>
  <c r="K44" i="20"/>
  <c r="K39" i="20"/>
  <c r="J44" i="24"/>
  <c r="J32" i="24"/>
  <c r="J24" i="24"/>
  <c r="K17" i="21"/>
  <c r="K51" i="21"/>
  <c r="K37" i="21"/>
  <c r="K43" i="19"/>
  <c r="K37" i="19"/>
  <c r="K32" i="19"/>
  <c r="J33" i="26"/>
  <c r="K18" i="22"/>
  <c r="K39" i="9"/>
  <c r="K24" i="23"/>
  <c r="J20" i="24"/>
  <c r="J15" i="24"/>
  <c r="K44" i="21"/>
  <c r="K15" i="21"/>
  <c r="K27" i="19"/>
  <c r="K21" i="19"/>
  <c r="K54" i="19"/>
  <c r="J26" i="27"/>
  <c r="J43" i="25"/>
  <c r="J29" i="26"/>
  <c r="J54" i="26"/>
  <c r="J36" i="27"/>
  <c r="J46" i="29"/>
  <c r="K46" i="22"/>
  <c r="J51" i="25"/>
  <c r="J18" i="25"/>
  <c r="J38" i="28"/>
  <c r="J39" i="28"/>
  <c r="J20" i="28"/>
  <c r="K34" i="9"/>
  <c r="K19" i="9"/>
  <c r="K36" i="23"/>
  <c r="K22" i="20"/>
  <c r="K34" i="20"/>
  <c r="J50" i="24"/>
  <c r="J18" i="24"/>
  <c r="J40" i="24"/>
  <c r="K42" i="21"/>
  <c r="K27" i="21"/>
  <c r="K24" i="19"/>
  <c r="K33" i="19"/>
  <c r="K17" i="19"/>
  <c r="K44" i="19"/>
  <c r="J30" i="25"/>
  <c r="J32" i="28"/>
  <c r="K20" i="23"/>
  <c r="K33" i="20"/>
  <c r="J47" i="24"/>
  <c r="K21" i="21"/>
  <c r="K30" i="19"/>
  <c r="J44" i="26"/>
  <c r="J23" i="27"/>
  <c r="J24" i="27"/>
  <c r="J21" i="27"/>
  <c r="J51" i="29"/>
  <c r="J21" i="29"/>
  <c r="K54" i="22"/>
  <c r="K49" i="22"/>
  <c r="K44" i="22"/>
  <c r="J26" i="25"/>
  <c r="J49" i="28"/>
  <c r="K35" i="9"/>
  <c r="K25" i="23"/>
  <c r="K54" i="23"/>
  <c r="K15" i="23"/>
  <c r="K37" i="20"/>
  <c r="J35" i="24"/>
  <c r="K46" i="21"/>
  <c r="J45" i="26"/>
  <c r="J22" i="26"/>
  <c r="J51" i="26"/>
  <c r="J41" i="27"/>
  <c r="J27" i="27"/>
  <c r="J15" i="27"/>
  <c r="J18" i="27"/>
  <c r="J49" i="29"/>
  <c r="J24" i="29"/>
  <c r="J20" i="29"/>
  <c r="K40" i="22"/>
  <c r="K28" i="22"/>
  <c r="K39" i="22"/>
  <c r="K50" i="22"/>
  <c r="J27" i="25"/>
  <c r="J19" i="25"/>
  <c r="J25" i="25"/>
  <c r="J44" i="28"/>
  <c r="J25" i="28"/>
  <c r="J50" i="28"/>
  <c r="J30" i="28"/>
  <c r="K45" i="9"/>
  <c r="K50" i="9"/>
  <c r="K51" i="9"/>
  <c r="K40" i="23"/>
  <c r="K39" i="23"/>
  <c r="K26" i="23"/>
  <c r="K49" i="23"/>
  <c r="K30" i="20"/>
  <c r="K36" i="20"/>
  <c r="K26" i="20"/>
  <c r="J37" i="24"/>
  <c r="J46" i="24"/>
  <c r="J31" i="24"/>
  <c r="J42" i="24"/>
  <c r="K16" i="21"/>
  <c r="K18" i="21"/>
  <c r="K31" i="21"/>
  <c r="K38" i="19"/>
  <c r="K31" i="19"/>
  <c r="K41" i="19"/>
  <c r="K46" i="19"/>
  <c r="J43" i="27"/>
  <c r="J18" i="29"/>
  <c r="J36" i="29"/>
  <c r="J54" i="29"/>
  <c r="K42" i="22"/>
  <c r="K24" i="22"/>
  <c r="K27" i="22"/>
  <c r="K25" i="22"/>
  <c r="J52" i="25"/>
  <c r="J50" i="25"/>
  <c r="J38" i="25"/>
  <c r="J53" i="28"/>
  <c r="J17" i="28"/>
  <c r="J34" i="28"/>
  <c r="J19" i="28"/>
  <c r="K31" i="9"/>
  <c r="K16" i="9"/>
  <c r="K15" i="9"/>
  <c r="K21" i="23"/>
  <c r="K45" i="23"/>
  <c r="K38" i="23"/>
  <c r="K46" i="23"/>
  <c r="K46" i="20"/>
  <c r="K52" i="20"/>
  <c r="K18" i="20"/>
  <c r="J34" i="24"/>
  <c r="J21" i="24"/>
  <c r="J36" i="24"/>
  <c r="J25" i="24"/>
  <c r="K48" i="21"/>
  <c r="K29" i="21"/>
  <c r="K20" i="21"/>
  <c r="K39" i="19"/>
  <c r="K45" i="19"/>
  <c r="K51" i="19"/>
  <c r="K48" i="19"/>
  <c r="J39" i="27"/>
  <c r="J29" i="29"/>
  <c r="K17" i="22"/>
  <c r="J29" i="28"/>
  <c r="K37" i="23"/>
  <c r="J24" i="26"/>
  <c r="J25" i="27"/>
  <c r="J16" i="27"/>
  <c r="J49" i="25"/>
  <c r="J37" i="28"/>
  <c r="K50" i="19"/>
  <c r="L12" i="22"/>
  <c r="M11" i="22"/>
  <c r="L12" i="23"/>
  <c r="M11" i="23"/>
  <c r="L11" i="28"/>
  <c r="K12" i="28"/>
  <c r="K12" i="27"/>
  <c r="L11" i="27"/>
  <c r="L12" i="21"/>
  <c r="M11" i="21"/>
  <c r="L12" i="19"/>
  <c r="M11" i="19"/>
  <c r="K12" i="24"/>
  <c r="L11" i="24"/>
  <c r="K12" i="26"/>
  <c r="L11" i="26"/>
  <c r="L11" i="29"/>
  <c r="K12" i="29"/>
  <c r="K12" i="25"/>
  <c r="L11" i="25"/>
  <c r="L12" i="9"/>
  <c r="M11" i="9"/>
  <c r="M11" i="20"/>
  <c r="L12" i="20"/>
  <c r="L47" i="22" a="1"/>
  <c r="L34" i="22" a="1"/>
  <c r="L28" i="22" a="1"/>
  <c r="L31" i="22" a="1"/>
  <c r="L39" i="23" a="1"/>
  <c r="K45" i="27" a="1"/>
  <c r="L21" i="21" a="1"/>
  <c r="L21" i="19" a="1"/>
  <c r="K16" i="24" a="1"/>
  <c r="K30" i="24" a="1"/>
  <c r="K34" i="29" a="1"/>
  <c r="L31" i="9" a="1"/>
  <c r="L27" i="20" a="1"/>
  <c r="K37" i="28" a="1"/>
  <c r="L25" i="21" a="1"/>
  <c r="L40" i="19" a="1"/>
  <c r="K43" i="24" a="1"/>
  <c r="K37" i="24" a="1"/>
  <c r="K41" i="24" a="1"/>
  <c r="K36" i="26" a="1"/>
  <c r="K26" i="29" a="1"/>
  <c r="L35" i="9" a="1"/>
  <c r="L40" i="9" a="1"/>
  <c r="L26" i="20" a="1"/>
  <c r="L51" i="20" a="1"/>
  <c r="L31" i="20" a="1"/>
  <c r="L51" i="22" a="1"/>
  <c r="L51" i="23" a="1"/>
  <c r="K16" i="27" a="1"/>
  <c r="K23" i="24" a="1"/>
  <c r="K27" i="29" a="1"/>
  <c r="K41" i="25" a="1"/>
  <c r="L49" i="9" a="1"/>
  <c r="L24" i="9" a="1"/>
  <c r="L47" i="20" a="1"/>
  <c r="K39" i="24" a="1"/>
  <c r="L51" i="9" a="1"/>
  <c r="L29" i="22" a="1"/>
  <c r="L22" i="22" a="1"/>
  <c r="L38" i="22" a="1"/>
  <c r="L33" i="22" a="1"/>
  <c r="L19" i="23" a="1"/>
  <c r="L21" i="23" a="1"/>
  <c r="L23" i="23" a="1"/>
  <c r="K40" i="28" a="1"/>
  <c r="K25" i="28" a="1"/>
  <c r="K28" i="28" a="1"/>
  <c r="K16" i="28" a="1"/>
  <c r="K47" i="27" a="1"/>
  <c r="K29" i="27" a="1"/>
  <c r="K49" i="27" a="1"/>
  <c r="L33" i="21" a="1"/>
  <c r="L38" i="21" a="1"/>
  <c r="L41" i="21" a="1"/>
  <c r="L34" i="21" a="1"/>
  <c r="L51" i="19" a="1"/>
  <c r="L27" i="19" a="1"/>
  <c r="L50" i="19" a="1"/>
  <c r="K18" i="24" a="1"/>
  <c r="K44" i="24" a="1"/>
  <c r="K19" i="24" a="1"/>
  <c r="K36" i="24" a="1"/>
  <c r="K44" i="26" a="1"/>
  <c r="K39" i="26" a="1"/>
  <c r="K52" i="26" a="1"/>
  <c r="K54" i="29" a="1"/>
  <c r="K31" i="29" a="1"/>
  <c r="K47" i="29" a="1"/>
  <c r="K41" i="29" a="1"/>
  <c r="K43" i="25" a="1"/>
  <c r="K23" i="25" a="1"/>
  <c r="K44" i="25" a="1"/>
  <c r="L28" i="9" a="1"/>
  <c r="L32" i="9" a="1"/>
  <c r="L47" i="9" a="1"/>
  <c r="L18" i="9" a="1"/>
  <c r="L52" i="20" a="1"/>
  <c r="L20" i="20" a="1"/>
  <c r="L29" i="20" a="1"/>
  <c r="L46" i="22" a="1"/>
  <c r="L48" i="23" a="1"/>
  <c r="K26" i="28" a="1"/>
  <c r="K46" i="28" a="1"/>
  <c r="K32" i="28" a="1"/>
  <c r="K32" i="27" a="1"/>
  <c r="K53" i="27" a="1"/>
  <c r="K38" i="27" a="1"/>
  <c r="L26" i="22" a="1"/>
  <c r="L40" i="22" a="1"/>
  <c r="L52" i="22" a="1"/>
  <c r="L35" i="23" a="1"/>
  <c r="L28" i="23" a="1"/>
  <c r="K36" i="28" a="1"/>
  <c r="L30" i="21" a="1"/>
  <c r="L31" i="21" a="1"/>
  <c r="L40" i="21" a="1"/>
  <c r="L23" i="19" a="1"/>
  <c r="L37" i="19" a="1"/>
  <c r="K46" i="24" a="1"/>
  <c r="K32" i="24" a="1"/>
  <c r="K48" i="26" a="1"/>
  <c r="K32" i="29" a="1"/>
  <c r="K36" i="25" a="1"/>
  <c r="L16" i="22" a="1"/>
  <c r="L30" i="22" a="1"/>
  <c r="K19" i="28" a="1"/>
  <c r="L53" i="21" a="1"/>
  <c r="L54" i="19" a="1"/>
  <c r="K27" i="24" a="1"/>
  <c r="K46" i="26" a="1"/>
  <c r="K43" i="29" a="1"/>
  <c r="K16" i="25" a="1"/>
  <c r="K26" i="26" a="1"/>
  <c r="K19" i="25" a="1"/>
  <c r="L33" i="9" a="1"/>
  <c r="L17" i="22" a="1"/>
  <c r="L15" i="22" a="1"/>
  <c r="L50" i="22" a="1"/>
  <c r="L20" i="22" a="1"/>
  <c r="L29" i="23" a="1"/>
  <c r="L18" i="23" a="1"/>
  <c r="L37" i="23" a="1"/>
  <c r="K17" i="28" a="1"/>
  <c r="K27" i="28" a="1"/>
  <c r="K23" i="28" a="1"/>
  <c r="K42" i="28" a="1"/>
  <c r="K21" i="27" a="1"/>
  <c r="K39" i="27" a="1"/>
  <c r="K36" i="27" a="1"/>
  <c r="L19" i="21" a="1"/>
  <c r="L49" i="21" a="1"/>
  <c r="L24" i="21" a="1"/>
  <c r="L22" i="21" a="1"/>
  <c r="L17" i="19" a="1"/>
  <c r="L28" i="19" a="1"/>
  <c r="L26" i="19" a="1"/>
  <c r="K21" i="24" a="1"/>
  <c r="K17" i="24" a="1"/>
  <c r="K24" i="24" a="1"/>
  <c r="K33" i="26" a="1"/>
  <c r="K37" i="26" a="1"/>
  <c r="K19" i="26" a="1"/>
  <c r="K16" i="29" a="1"/>
  <c r="K40" i="29" a="1"/>
  <c r="K39" i="29" a="1"/>
  <c r="K24" i="25" a="1"/>
  <c r="K15" i="25" a="1"/>
  <c r="K39" i="25" a="1"/>
  <c r="L53" i="9" a="1"/>
  <c r="L29" i="9" a="1"/>
  <c r="L19" i="9" a="1"/>
  <c r="L46" i="9" a="1"/>
  <c r="L50" i="20" a="1"/>
  <c r="L24" i="20" a="1"/>
  <c r="L36" i="20" a="1"/>
  <c r="L18" i="22" a="1"/>
  <c r="L21" i="22" a="1"/>
  <c r="L32" i="22" a="1"/>
  <c r="L26" i="23" a="1"/>
  <c r="L17" i="23" a="1"/>
  <c r="L31" i="23" a="1"/>
  <c r="K54" i="28" a="1"/>
  <c r="K50" i="28" a="1"/>
  <c r="K15" i="27" a="1"/>
  <c r="K40" i="27" a="1"/>
  <c r="K52" i="27" a="1"/>
  <c r="K46" i="27" a="1"/>
  <c r="L26" i="21" a="1"/>
  <c r="L48" i="21" a="1"/>
  <c r="L22" i="19" a="1"/>
  <c r="K47" i="24" a="1"/>
  <c r="K26" i="24" a="1"/>
  <c r="K53" i="26" a="1"/>
  <c r="K42" i="29" a="1"/>
  <c r="K31" i="25" a="1"/>
  <c r="K51" i="25" a="1"/>
  <c r="K17" i="25" a="1"/>
  <c r="L30" i="9" a="1"/>
  <c r="L38" i="9" a="1"/>
  <c r="L45" i="9" a="1"/>
  <c r="L39" i="20" a="1"/>
  <c r="L15" i="20" a="1"/>
  <c r="L45" i="20" a="1"/>
  <c r="L33" i="20" a="1"/>
  <c r="L19" i="22" a="1"/>
  <c r="L48" i="22" a="1"/>
  <c r="L45" i="23" a="1"/>
  <c r="L40" i="23" a="1"/>
  <c r="L22" i="23" a="1"/>
  <c r="L16" i="23" a="1"/>
  <c r="K39" i="28" a="1"/>
  <c r="K24" i="28" a="1"/>
  <c r="K33" i="27" a="1"/>
  <c r="K35" i="27" a="1"/>
  <c r="K27" i="27" a="1"/>
  <c r="L43" i="21" a="1"/>
  <c r="L43" i="19" a="1"/>
  <c r="K54" i="24" a="1"/>
  <c r="K50" i="26" a="1"/>
  <c r="K53" i="29" a="1"/>
  <c r="K34" i="28" a="1"/>
  <c r="L39" i="21" a="1"/>
  <c r="L25" i="19" a="1"/>
  <c r="L30" i="19" a="1"/>
  <c r="L20" i="19" a="1"/>
  <c r="K42" i="24" a="1"/>
  <c r="K18" i="26" a="1"/>
  <c r="K21" i="26" a="1"/>
  <c r="K16" i="26" a="1"/>
  <c r="K21" i="29" a="1"/>
  <c r="K50" i="29" a="1"/>
  <c r="L45" i="22" a="1"/>
  <c r="K28" i="27" a="1"/>
  <c r="L17" i="21" a="1"/>
  <c r="K52" i="24" a="1"/>
  <c r="K53" i="25" a="1"/>
  <c r="L35" i="22" a="1"/>
  <c r="L53" i="22" a="1"/>
  <c r="L41" i="22" a="1"/>
  <c r="L42" i="23" a="1"/>
  <c r="L36" i="23" a="1"/>
  <c r="L47" i="23" a="1"/>
  <c r="L25" i="23" a="1"/>
  <c r="K33" i="28" a="1"/>
  <c r="K47" i="28" a="1"/>
  <c r="K22" i="28" a="1"/>
  <c r="K17" i="27" a="1"/>
  <c r="K42" i="27" a="1"/>
  <c r="K25" i="27" a="1"/>
  <c r="L37" i="21" a="1"/>
  <c r="L28" i="21" a="1"/>
  <c r="L35" i="21" a="1"/>
  <c r="L52" i="19" a="1"/>
  <c r="L31" i="19" a="1"/>
  <c r="L49" i="19" a="1"/>
  <c r="K25" i="24" a="1"/>
  <c r="K33" i="24" a="1"/>
  <c r="K35" i="24" a="1"/>
  <c r="K54" i="26" a="1"/>
  <c r="K34" i="26" a="1"/>
  <c r="K43" i="26" a="1"/>
  <c r="K27" i="26" a="1"/>
  <c r="K51" i="29" a="1"/>
  <c r="K28" i="29" a="1"/>
  <c r="K20" i="29" a="1"/>
  <c r="K50" i="25" a="1"/>
  <c r="K48" i="25" a="1"/>
  <c r="K49" i="25" a="1"/>
  <c r="K28" i="25" a="1"/>
  <c r="L23" i="9" a="1"/>
  <c r="L34" i="9" a="1"/>
  <c r="L16" i="20" a="1"/>
  <c r="L30" i="20" a="1"/>
  <c r="L17" i="20" a="1"/>
  <c r="K19" i="27" a="1"/>
  <c r="L51" i="21" a="1"/>
  <c r="K51" i="26" a="1"/>
  <c r="K49" i="29" a="1"/>
  <c r="K48" i="29" a="1"/>
  <c r="K35" i="25" a="1"/>
  <c r="L50" i="9" a="1"/>
  <c r="L46" i="20" a="1"/>
  <c r="L16" i="19" a="1"/>
  <c r="K38" i="26" a="1"/>
  <c r="L20" i="9" a="1"/>
  <c r="L38" i="20" a="1"/>
  <c r="L49" i="22" a="1"/>
  <c r="L54" i="22" a="1"/>
  <c r="L42" i="22" a="1"/>
  <c r="L53" i="23" a="1"/>
  <c r="L52" i="23" a="1"/>
  <c r="L15" i="23" a="1"/>
  <c r="L27" i="23" a="1"/>
  <c r="K38" i="28" a="1"/>
  <c r="K29" i="28" a="1"/>
  <c r="K20" i="28" a="1"/>
  <c r="K51" i="27" a="1"/>
  <c r="K37" i="27" a="1"/>
  <c r="K44" i="27" a="1"/>
  <c r="L36" i="21" a="1"/>
  <c r="L15" i="21" a="1"/>
  <c r="L54" i="21" a="1"/>
  <c r="L45" i="19" a="1"/>
  <c r="L48" i="19" a="1"/>
  <c r="L32" i="19" a="1"/>
  <c r="L41" i="19" a="1"/>
  <c r="K20" i="24" a="1"/>
  <c r="K22" i="24" a="1"/>
  <c r="K31" i="24" a="1"/>
  <c r="K32" i="26" a="1"/>
  <c r="K28" i="26" a="1"/>
  <c r="K30" i="26" a="1"/>
  <c r="K31" i="26" a="1"/>
  <c r="K17" i="29" a="1"/>
  <c r="K30" i="29" a="1"/>
  <c r="K33" i="29" a="1"/>
  <c r="K22" i="25" a="1"/>
  <c r="K40" i="25" a="1"/>
  <c r="K26" i="25" a="1"/>
  <c r="K30" i="25" a="1"/>
  <c r="L27" i="9" a="1"/>
  <c r="L42" i="9" a="1"/>
  <c r="L36" i="9" a="1"/>
  <c r="L49" i="20" a="1"/>
  <c r="L41" i="20" a="1"/>
  <c r="L43" i="20" a="1"/>
  <c r="L45" i="21" a="1"/>
  <c r="L46" i="19" a="1"/>
  <c r="L39" i="19" a="1"/>
  <c r="K50" i="24" a="1"/>
  <c r="K20" i="26" a="1"/>
  <c r="K25" i="26" a="1"/>
  <c r="K22" i="29" a="1"/>
  <c r="K37" i="29" a="1"/>
  <c r="K21" i="25" a="1"/>
  <c r="L54" i="9" a="1"/>
  <c r="L35" i="20" a="1"/>
  <c r="K43" i="27" a="1"/>
  <c r="K15" i="26" a="1"/>
  <c r="K44" i="29" a="1"/>
  <c r="L53" i="20" a="1"/>
  <c r="K52" i="29" a="1"/>
  <c r="K18" i="25" a="1"/>
  <c r="L17" i="9" a="1"/>
  <c r="L18" i="20" a="1"/>
  <c r="L19" i="19" a="1"/>
  <c r="K40" i="24" a="1"/>
  <c r="K45" i="26" a="1"/>
  <c r="K35" i="26" a="1"/>
  <c r="K15" i="29" a="1"/>
  <c r="K36" i="29" a="1"/>
  <c r="K32" i="25" a="1"/>
  <c r="K47" i="25" a="1"/>
  <c r="L41" i="9" a="1"/>
  <c r="L39" i="22" a="1"/>
  <c r="L32" i="23" a="1"/>
  <c r="K23" i="27" a="1"/>
  <c r="L47" i="21" a="1"/>
  <c r="K29" i="24" a="1"/>
  <c r="L16" i="9" a="1"/>
  <c r="L50" i="21" a="1"/>
  <c r="K40" i="26" a="1"/>
  <c r="K24" i="29" a="1"/>
  <c r="L48" i="9" a="1"/>
  <c r="L48" i="20" a="1"/>
  <c r="L24" i="22" a="1"/>
  <c r="L43" i="22" a="1"/>
  <c r="L41" i="23" a="1"/>
  <c r="L34" i="23" a="1"/>
  <c r="L50" i="23" a="1"/>
  <c r="L49" i="23" a="1"/>
  <c r="K49" i="28" a="1"/>
  <c r="K53" i="28" a="1"/>
  <c r="K18" i="28" a="1"/>
  <c r="K22" i="27" a="1"/>
  <c r="K41" i="27" a="1"/>
  <c r="K34" i="27" a="1"/>
  <c r="K31" i="27" a="1"/>
  <c r="L52" i="21" a="1"/>
  <c r="L42" i="21" a="1"/>
  <c r="L42" i="19" a="1"/>
  <c r="L53" i="19" a="1"/>
  <c r="K48" i="24" a="1"/>
  <c r="K51" i="24" a="1"/>
  <c r="K24" i="26" a="1"/>
  <c r="K23" i="26" a="1"/>
  <c r="K29" i="29" a="1"/>
  <c r="K45" i="25" a="1"/>
  <c r="K29" i="25" a="1"/>
  <c r="K25" i="25" a="1"/>
  <c r="L21" i="9" a="1"/>
  <c r="L43" i="9" a="1"/>
  <c r="L19" i="20" a="1"/>
  <c r="L32" i="20" a="1"/>
  <c r="L40" i="20" a="1"/>
  <c r="K44" i="28" a="1"/>
  <c r="L33" i="19" a="1"/>
  <c r="K15" i="24" a="1"/>
  <c r="K49" i="26" a="1"/>
  <c r="K46" i="29" a="1"/>
  <c r="K52" i="25" a="1"/>
  <c r="L25" i="9" a="1"/>
  <c r="L26" i="9" a="1"/>
  <c r="L21" i="20" a="1"/>
  <c r="L25" i="22" a="1"/>
  <c r="L33" i="23" a="1"/>
  <c r="K24" i="27" a="1"/>
  <c r="L20" i="21" a="1"/>
  <c r="L16" i="21" a="1"/>
  <c r="L47" i="19" a="1"/>
  <c r="K22" i="26" a="1"/>
  <c r="L39" i="9" a="1"/>
  <c r="L36" i="22" a="1"/>
  <c r="L43" i="23" a="1"/>
  <c r="K52" i="28" a="1"/>
  <c r="K15" i="28" a="1"/>
  <c r="K30" i="27" a="1"/>
  <c r="L35" i="19" a="1"/>
  <c r="K42" i="26" a="1"/>
  <c r="K33" i="25" a="1"/>
  <c r="L44" i="9" a="1"/>
  <c r="L34" i="20" a="1"/>
  <c r="L15" i="19" a="1"/>
  <c r="K23" i="29" a="1"/>
  <c r="K46" i="25" a="1"/>
  <c r="L28" i="20" a="1"/>
  <c r="L44" i="22" a="1"/>
  <c r="L27" i="22" a="1"/>
  <c r="L37" i="22" a="1"/>
  <c r="L38" i="23" a="1"/>
  <c r="L20" i="23" a="1"/>
  <c r="L44" i="23" a="1"/>
  <c r="L46" i="23" a="1"/>
  <c r="K31" i="28" a="1"/>
  <c r="K43" i="28" a="1"/>
  <c r="K35" i="28" a="1"/>
  <c r="K54" i="27" a="1"/>
  <c r="K18" i="27" a="1"/>
  <c r="K50" i="27" a="1"/>
  <c r="K26" i="27" a="1"/>
  <c r="L18" i="21" a="1"/>
  <c r="L27" i="21" a="1"/>
  <c r="L46" i="21" a="1"/>
  <c r="L29" i="19" a="1"/>
  <c r="L38" i="19" a="1"/>
  <c r="L36" i="19" a="1"/>
  <c r="L18" i="19" a="1"/>
  <c r="K34" i="24" a="1"/>
  <c r="K53" i="24" a="1"/>
  <c r="K38" i="24" a="1"/>
  <c r="K29" i="26" a="1"/>
  <c r="K47" i="26" a="1"/>
  <c r="K17" i="26" a="1"/>
  <c r="K38" i="29" a="1"/>
  <c r="K25" i="29" a="1"/>
  <c r="K35" i="29" a="1"/>
  <c r="K20" i="25" a="1"/>
  <c r="K37" i="25" a="1"/>
  <c r="K27" i="25" a="1"/>
  <c r="L52" i="9" a="1"/>
  <c r="L22" i="9" a="1"/>
  <c r="L37" i="9" a="1"/>
  <c r="L25" i="20" a="1"/>
  <c r="L23" i="20" a="1"/>
  <c r="L44" i="20" a="1"/>
  <c r="L22" i="20" a="1"/>
  <c r="L54" i="23" a="1"/>
  <c r="L24" i="23" a="1"/>
  <c r="K48" i="28" a="1"/>
  <c r="K21" i="28" a="1"/>
  <c r="K20" i="27" a="1"/>
  <c r="L32" i="21" a="1"/>
  <c r="L23" i="21" a="1"/>
  <c r="L34" i="19" a="1"/>
  <c r="K28" i="24" a="1"/>
  <c r="K41" i="26" a="1"/>
  <c r="K45" i="29" a="1"/>
  <c r="K42" i="25" a="1"/>
  <c r="K34" i="25" a="1"/>
  <c r="L15" i="9" a="1"/>
  <c r="L23" i="22" a="1"/>
  <c r="L30" i="23" a="1"/>
  <c r="K41" i="28" a="1"/>
  <c r="K30" i="28" a="1"/>
  <c r="K45" i="28" a="1"/>
  <c r="K48" i="27" a="1"/>
  <c r="L29" i="21" a="1"/>
  <c r="L24" i="19" a="1"/>
  <c r="K18" i="29" a="1"/>
  <c r="K54" i="25" a="1"/>
  <c r="L42" i="20" a="1"/>
  <c r="K51" i="28" a="1"/>
  <c r="L44" i="21" a="1"/>
  <c r="L44" i="19" a="1"/>
  <c r="K49" i="24" a="1"/>
  <c r="K19" i="29" a="1"/>
  <c r="L54" i="20" a="1"/>
  <c r="K45" i="24" a="1"/>
  <c r="K38" i="25" a="1"/>
  <c r="L37" i="20" a="1"/>
  <c r="L37" i="20" l="1"/>
  <c r="K38" i="25"/>
  <c r="K45" i="24"/>
  <c r="L54" i="20"/>
  <c r="K19" i="29"/>
  <c r="K49" i="24"/>
  <c r="L44" i="19"/>
  <c r="L44" i="21"/>
  <c r="K51" i="28"/>
  <c r="L42" i="20"/>
  <c r="K54" i="25"/>
  <c r="K18" i="29"/>
  <c r="L24" i="19"/>
  <c r="L29" i="21"/>
  <c r="K48" i="27"/>
  <c r="K45" i="28"/>
  <c r="K30" i="28"/>
  <c r="K41" i="28"/>
  <c r="L30" i="23"/>
  <c r="L23" i="22"/>
  <c r="L15" i="9"/>
  <c r="K34" i="25"/>
  <c r="K42" i="25"/>
  <c r="K45" i="29"/>
  <c r="K41" i="26"/>
  <c r="K28" i="24"/>
  <c r="L34" i="19"/>
  <c r="L23" i="21"/>
  <c r="L32" i="21"/>
  <c r="K20" i="27"/>
  <c r="K21" i="28"/>
  <c r="K48" i="28"/>
  <c r="L24" i="23"/>
  <c r="L54" i="23"/>
  <c r="L22" i="20"/>
  <c r="L44" i="20"/>
  <c r="L23" i="20"/>
  <c r="L25" i="20"/>
  <c r="L37" i="9"/>
  <c r="L22" i="9"/>
  <c r="L52" i="9"/>
  <c r="K27" i="25"/>
  <c r="K37" i="25"/>
  <c r="K20" i="25"/>
  <c r="K35" i="29"/>
  <c r="K25" i="29"/>
  <c r="K38" i="29"/>
  <c r="K17" i="26"/>
  <c r="K47" i="26"/>
  <c r="K29" i="26"/>
  <c r="K38" i="24"/>
  <c r="K53" i="24"/>
  <c r="K34" i="24"/>
  <c r="L18" i="19"/>
  <c r="L36" i="19"/>
  <c r="L38" i="19"/>
  <c r="L29" i="19"/>
  <c r="L46" i="21"/>
  <c r="L27" i="21"/>
  <c r="L18" i="21"/>
  <c r="K26" i="27"/>
  <c r="K50" i="27"/>
  <c r="K18" i="27"/>
  <c r="K54" i="27"/>
  <c r="K35" i="28"/>
  <c r="K43" i="28"/>
  <c r="K31" i="28"/>
  <c r="L46" i="23"/>
  <c r="L44" i="23"/>
  <c r="L20" i="23"/>
  <c r="L38" i="23"/>
  <c r="L37" i="22"/>
  <c r="L27" i="22"/>
  <c r="L44" i="22"/>
  <c r="L28" i="20"/>
  <c r="K46" i="25"/>
  <c r="K23" i="29"/>
  <c r="L15" i="19"/>
  <c r="L34" i="20"/>
  <c r="L44" i="9"/>
  <c r="K33" i="25"/>
  <c r="K42" i="26"/>
  <c r="L35" i="19"/>
  <c r="K30" i="27"/>
  <c r="K15" i="28"/>
  <c r="K52" i="28"/>
  <c r="L43" i="23"/>
  <c r="L36" i="22"/>
  <c r="L39" i="9"/>
  <c r="K22" i="26"/>
  <c r="L47" i="19"/>
  <c r="L16" i="21"/>
  <c r="L20" i="21"/>
  <c r="K24" i="27"/>
  <c r="L33" i="23"/>
  <c r="L25" i="22"/>
  <c r="L21" i="20"/>
  <c r="L26" i="9"/>
  <c r="L25" i="9"/>
  <c r="K52" i="25"/>
  <c r="K46" i="29"/>
  <c r="K49" i="26"/>
  <c r="K15" i="24"/>
  <c r="L33" i="19"/>
  <c r="K44" i="28"/>
  <c r="L40" i="20"/>
  <c r="L32" i="20"/>
  <c r="L19" i="20"/>
  <c r="L43" i="9"/>
  <c r="L21" i="9"/>
  <c r="K25" i="25"/>
  <c r="K29" i="25"/>
  <c r="K45" i="25"/>
  <c r="K29" i="29"/>
  <c r="K23" i="26"/>
  <c r="K24" i="26"/>
  <c r="K51" i="24"/>
  <c r="K48" i="24"/>
  <c r="L53" i="19"/>
  <c r="L42" i="19"/>
  <c r="L42" i="21"/>
  <c r="L52" i="21"/>
  <c r="K31" i="27"/>
  <c r="K34" i="27"/>
  <c r="K41" i="27"/>
  <c r="K22" i="27"/>
  <c r="K18" i="28"/>
  <c r="K53" i="28"/>
  <c r="K49" i="28"/>
  <c r="L49" i="23"/>
  <c r="L50" i="23"/>
  <c r="L34" i="23"/>
  <c r="L41" i="23"/>
  <c r="L43" i="22"/>
  <c r="L24" i="22"/>
  <c r="L48" i="20"/>
  <c r="L48" i="9"/>
  <c r="K24" i="29"/>
  <c r="K40" i="26"/>
  <c r="L50" i="21"/>
  <c r="L16" i="9"/>
  <c r="K29" i="24"/>
  <c r="L47" i="21"/>
  <c r="K23" i="27"/>
  <c r="L32" i="23"/>
  <c r="L39" i="22"/>
  <c r="L41" i="9"/>
  <c r="K47" i="25"/>
  <c r="K32" i="25"/>
  <c r="K36" i="29"/>
  <c r="K15" i="29"/>
  <c r="K35" i="26"/>
  <c r="K45" i="26"/>
  <c r="K40" i="24"/>
  <c r="L19" i="19"/>
  <c r="L18" i="20"/>
  <c r="L17" i="9"/>
  <c r="K18" i="25"/>
  <c r="K52" i="29"/>
  <c r="L53" i="20"/>
  <c r="K44" i="29"/>
  <c r="K15" i="26"/>
  <c r="K43" i="27"/>
  <c r="L35" i="20"/>
  <c r="L54" i="9"/>
  <c r="K21" i="25"/>
  <c r="K37" i="29"/>
  <c r="K22" i="29"/>
  <c r="K25" i="26"/>
  <c r="K20" i="26"/>
  <c r="K50" i="24"/>
  <c r="L39" i="19"/>
  <c r="L46" i="19"/>
  <c r="L45" i="21"/>
  <c r="L43" i="20"/>
  <c r="L41" i="20"/>
  <c r="L49" i="20"/>
  <c r="L36" i="9"/>
  <c r="L42" i="9"/>
  <c r="L27" i="9"/>
  <c r="K30" i="25"/>
  <c r="K26" i="25"/>
  <c r="K40" i="25"/>
  <c r="K22" i="25"/>
  <c r="K33" i="29"/>
  <c r="K30" i="29"/>
  <c r="K17" i="29"/>
  <c r="K31" i="26"/>
  <c r="K30" i="26"/>
  <c r="K28" i="26"/>
  <c r="K32" i="26"/>
  <c r="K31" i="24"/>
  <c r="K22" i="24"/>
  <c r="K20" i="24"/>
  <c r="L41" i="19"/>
  <c r="L32" i="19"/>
  <c r="L48" i="19"/>
  <c r="L45" i="19"/>
  <c r="L54" i="21"/>
  <c r="L15" i="21"/>
  <c r="L36" i="21"/>
  <c r="K44" i="27"/>
  <c r="K37" i="27"/>
  <c r="K51" i="27"/>
  <c r="K20" i="28"/>
  <c r="K29" i="28"/>
  <c r="K38" i="28"/>
  <c r="L27" i="23"/>
  <c r="L15" i="23"/>
  <c r="L52" i="23"/>
  <c r="L53" i="23"/>
  <c r="L42" i="22"/>
  <c r="L54" i="22"/>
  <c r="L49" i="22"/>
  <c r="L38" i="20"/>
  <c r="L20" i="9"/>
  <c r="K38" i="26"/>
  <c r="L16" i="19"/>
  <c r="L46" i="20"/>
  <c r="L50" i="9"/>
  <c r="K35" i="25"/>
  <c r="K48" i="29"/>
  <c r="K49" i="29"/>
  <c r="K51" i="26"/>
  <c r="L51" i="21"/>
  <c r="K19" i="27"/>
  <c r="L17" i="20"/>
  <c r="L30" i="20"/>
  <c r="L16" i="20"/>
  <c r="L34" i="9"/>
  <c r="L23" i="9"/>
  <c r="K28" i="25"/>
  <c r="K49" i="25"/>
  <c r="K48" i="25"/>
  <c r="K50" i="25"/>
  <c r="K20" i="29"/>
  <c r="K28" i="29"/>
  <c r="K51" i="29"/>
  <c r="K27" i="26"/>
  <c r="K43" i="26"/>
  <c r="K34" i="26"/>
  <c r="K54" i="26"/>
  <c r="K35" i="24"/>
  <c r="K33" i="24"/>
  <c r="K25" i="24"/>
  <c r="L49" i="19"/>
  <c r="L31" i="19"/>
  <c r="L52" i="19"/>
  <c r="L35" i="21"/>
  <c r="L28" i="21"/>
  <c r="L37" i="21"/>
  <c r="K25" i="27"/>
  <c r="K42" i="27"/>
  <c r="K17" i="27"/>
  <c r="K22" i="28"/>
  <c r="K47" i="28"/>
  <c r="K33" i="28"/>
  <c r="L25" i="23"/>
  <c r="L47" i="23"/>
  <c r="L36" i="23"/>
  <c r="L42" i="23"/>
  <c r="L41" i="22"/>
  <c r="L53" i="22"/>
  <c r="L35" i="22"/>
  <c r="K53" i="25"/>
  <c r="K52" i="24"/>
  <c r="L17" i="21"/>
  <c r="K28" i="27"/>
  <c r="L45" i="22"/>
  <c r="K50" i="29"/>
  <c r="K21" i="29"/>
  <c r="K16" i="26"/>
  <c r="K21" i="26"/>
  <c r="K18" i="26"/>
  <c r="K42" i="24"/>
  <c r="L20" i="19"/>
  <c r="L30" i="19"/>
  <c r="L25" i="19"/>
  <c r="L39" i="21"/>
  <c r="K34" i="28"/>
  <c r="K53" i="29"/>
  <c r="K50" i="26"/>
  <c r="K54" i="24"/>
  <c r="L43" i="19"/>
  <c r="L43" i="21"/>
  <c r="K27" i="27"/>
  <c r="K35" i="27"/>
  <c r="K33" i="27"/>
  <c r="K24" i="28"/>
  <c r="K39" i="28"/>
  <c r="L16" i="23"/>
  <c r="L22" i="23"/>
  <c r="L40" i="23"/>
  <c r="L45" i="23"/>
  <c r="L48" i="22"/>
  <c r="L19" i="22"/>
  <c r="L33" i="20"/>
  <c r="L45" i="20"/>
  <c r="L15" i="20"/>
  <c r="L39" i="20"/>
  <c r="L45" i="9"/>
  <c r="L38" i="9"/>
  <c r="L30" i="9"/>
  <c r="K17" i="25"/>
  <c r="K51" i="25"/>
  <c r="K31" i="25"/>
  <c r="K42" i="29"/>
  <c r="K53" i="26"/>
  <c r="K26" i="24"/>
  <c r="K47" i="24"/>
  <c r="L22" i="19"/>
  <c r="L48" i="21"/>
  <c r="L26" i="21"/>
  <c r="K46" i="27"/>
  <c r="K52" i="27"/>
  <c r="K40" i="27"/>
  <c r="K15" i="27"/>
  <c r="K50" i="28"/>
  <c r="K54" i="28"/>
  <c r="L31" i="23"/>
  <c r="L17" i="23"/>
  <c r="L26" i="23"/>
  <c r="L32" i="22"/>
  <c r="L21" i="22"/>
  <c r="L18" i="22"/>
  <c r="L36" i="20"/>
  <c r="L24" i="20"/>
  <c r="L50" i="20"/>
  <c r="L46" i="9"/>
  <c r="L19" i="9"/>
  <c r="L29" i="9"/>
  <c r="L53" i="9"/>
  <c r="K39" i="25"/>
  <c r="K15" i="25"/>
  <c r="K24" i="25"/>
  <c r="K39" i="29"/>
  <c r="K40" i="29"/>
  <c r="K16" i="29"/>
  <c r="K19" i="26"/>
  <c r="K37" i="26"/>
  <c r="K33" i="26"/>
  <c r="K24" i="24"/>
  <c r="K17" i="24"/>
  <c r="K21" i="24"/>
  <c r="L26" i="19"/>
  <c r="L28" i="19"/>
  <c r="L17" i="19"/>
  <c r="L22" i="21"/>
  <c r="L24" i="21"/>
  <c r="L49" i="21"/>
  <c r="L19" i="21"/>
  <c r="K36" i="27"/>
  <c r="K39" i="27"/>
  <c r="K21" i="27"/>
  <c r="K42" i="28"/>
  <c r="K23" i="28"/>
  <c r="K27" i="28"/>
  <c r="K17" i="28"/>
  <c r="L37" i="23"/>
  <c r="L18" i="23"/>
  <c r="L29" i="23"/>
  <c r="L20" i="22"/>
  <c r="L50" i="22"/>
  <c r="L15" i="22"/>
  <c r="L17" i="22"/>
  <c r="L33" i="9"/>
  <c r="K19" i="25"/>
  <c r="K26" i="26"/>
  <c r="K16" i="25"/>
  <c r="K43" i="29"/>
  <c r="K46" i="26"/>
  <c r="K27" i="24"/>
  <c r="L54" i="19"/>
  <c r="L53" i="21"/>
  <c r="K19" i="28"/>
  <c r="L30" i="22"/>
  <c r="L16" i="22"/>
  <c r="K36" i="25"/>
  <c r="K32" i="29"/>
  <c r="K48" i="26"/>
  <c r="K32" i="24"/>
  <c r="K46" i="24"/>
  <c r="L37" i="19"/>
  <c r="L23" i="19"/>
  <c r="L40" i="21"/>
  <c r="L31" i="21"/>
  <c r="L30" i="21"/>
  <c r="K36" i="28"/>
  <c r="L28" i="23"/>
  <c r="L35" i="23"/>
  <c r="L52" i="22"/>
  <c r="L40" i="22"/>
  <c r="L26" i="22"/>
  <c r="K38" i="27"/>
  <c r="K53" i="27"/>
  <c r="K32" i="27"/>
  <c r="K32" i="28"/>
  <c r="K46" i="28"/>
  <c r="K26" i="28"/>
  <c r="L48" i="23"/>
  <c r="L46" i="22"/>
  <c r="L29" i="20"/>
  <c r="L20" i="20"/>
  <c r="L52" i="20"/>
  <c r="L18" i="9"/>
  <c r="L47" i="9"/>
  <c r="L32" i="9"/>
  <c r="L28" i="9"/>
  <c r="K44" i="25"/>
  <c r="K23" i="25"/>
  <c r="K43" i="25"/>
  <c r="K41" i="29"/>
  <c r="K47" i="29"/>
  <c r="K31" i="29"/>
  <c r="K54" i="29"/>
  <c r="K52" i="26"/>
  <c r="K39" i="26"/>
  <c r="K44" i="26"/>
  <c r="K36" i="24"/>
  <c r="K19" i="24"/>
  <c r="K44" i="24"/>
  <c r="K18" i="24"/>
  <c r="L50" i="19"/>
  <c r="L27" i="19"/>
  <c r="L51" i="19"/>
  <c r="L34" i="21"/>
  <c r="L41" i="21"/>
  <c r="L38" i="21"/>
  <c r="L33" i="21"/>
  <c r="K49" i="27"/>
  <c r="K29" i="27"/>
  <c r="K47" i="27"/>
  <c r="K16" i="28"/>
  <c r="K28" i="28"/>
  <c r="K25" i="28"/>
  <c r="K40" i="28"/>
  <c r="L23" i="23"/>
  <c r="L21" i="23"/>
  <c r="L19" i="23"/>
  <c r="L33" i="22"/>
  <c r="L38" i="22"/>
  <c r="L22" i="22"/>
  <c r="L29" i="22"/>
  <c r="L51" i="9"/>
  <c r="K39" i="24"/>
  <c r="L47" i="20"/>
  <c r="L24" i="9"/>
  <c r="L49" i="9"/>
  <c r="K41" i="25"/>
  <c r="K27" i="29"/>
  <c r="K23" i="24"/>
  <c r="K16" i="27"/>
  <c r="L51" i="23"/>
  <c r="L51" i="22"/>
  <c r="L31" i="20"/>
  <c r="L51" i="20"/>
  <c r="L26" i="20"/>
  <c r="L40" i="9"/>
  <c r="L35" i="9"/>
  <c r="K26" i="29"/>
  <c r="K36" i="26"/>
  <c r="K41" i="24"/>
  <c r="K37" i="24"/>
  <c r="K43" i="24"/>
  <c r="L40" i="19"/>
  <c r="L25" i="21"/>
  <c r="K37" i="28"/>
  <c r="L27" i="20"/>
  <c r="L31" i="9"/>
  <c r="K34" i="29"/>
  <c r="K30" i="24"/>
  <c r="K16" i="24"/>
  <c r="L21" i="19"/>
  <c r="L21" i="21"/>
  <c r="K45" i="27"/>
  <c r="L39" i="23"/>
  <c r="L31" i="22"/>
  <c r="L28" i="22"/>
  <c r="L34" i="22"/>
  <c r="L47" i="22"/>
  <c r="L12" i="26"/>
  <c r="M11" i="26"/>
  <c r="M11" i="25"/>
  <c r="L12" i="25"/>
  <c r="N11" i="22"/>
  <c r="M12" i="22"/>
  <c r="L12" i="27"/>
  <c r="M11" i="27"/>
  <c r="N11" i="20"/>
  <c r="M12" i="20"/>
  <c r="N11" i="9"/>
  <c r="M12" i="9"/>
  <c r="N11" i="19"/>
  <c r="M12" i="19"/>
  <c r="L12" i="28"/>
  <c r="M11" i="28"/>
  <c r="N11" i="23"/>
  <c r="M12" i="23"/>
  <c r="M11" i="24"/>
  <c r="L12" i="24"/>
  <c r="N11" i="21"/>
  <c r="M12" i="21"/>
  <c r="M11" i="29"/>
  <c r="L12" i="29"/>
  <c r="L28" i="26" a="1"/>
  <c r="L22" i="26" a="1"/>
  <c r="L18" i="26" a="1"/>
  <c r="L21" i="26" a="1"/>
  <c r="L28" i="25" a="1"/>
  <c r="L54" i="25" a="1"/>
  <c r="L20" i="25" a="1"/>
  <c r="M53" i="22" a="1"/>
  <c r="M39" i="22" a="1"/>
  <c r="M17" i="22" a="1"/>
  <c r="M51" i="22" a="1"/>
  <c r="L50" i="27" a="1"/>
  <c r="L45" i="27" a="1"/>
  <c r="L52" i="27" a="1"/>
  <c r="M24" i="20" a="1"/>
  <c r="M27" i="20" a="1"/>
  <c r="M34" i="20" a="1"/>
  <c r="M35" i="9" a="1"/>
  <c r="M17" i="9" a="1"/>
  <c r="M32" i="9" a="1"/>
  <c r="M35" i="19" a="1"/>
  <c r="M28" i="19" a="1"/>
  <c r="M32" i="19" a="1"/>
  <c r="M20" i="19" a="1"/>
  <c r="L40" i="28" a="1"/>
  <c r="L29" i="28" a="1"/>
  <c r="M44" i="23" a="1"/>
  <c r="L16" i="25" a="1"/>
  <c r="M16" i="20" a="1"/>
  <c r="M31" i="9" a="1"/>
  <c r="M44" i="19" a="1"/>
  <c r="M28" i="23" a="1"/>
  <c r="L19" i="24" a="1"/>
  <c r="M16" i="22" a="1"/>
  <c r="M40" i="22" a="1"/>
  <c r="L44" i="27" a="1"/>
  <c r="M32" i="20" a="1"/>
  <c r="M26" i="9" a="1"/>
  <c r="M49" i="23" a="1"/>
  <c r="M21" i="23" a="1"/>
  <c r="M53" i="23" a="1"/>
  <c r="L53" i="24" a="1"/>
  <c r="M39" i="21" a="1"/>
  <c r="L49" i="29" a="1"/>
  <c r="M53" i="9" a="1"/>
  <c r="L29" i="26" a="1"/>
  <c r="L47" i="27" a="1"/>
  <c r="M45" i="19" a="1"/>
  <c r="M39" i="23" a="1"/>
  <c r="L41" i="24" a="1"/>
  <c r="L22" i="24" a="1"/>
  <c r="L27" i="24" a="1"/>
  <c r="M24" i="21" a="1"/>
  <c r="M21" i="21" a="1"/>
  <c r="M20" i="21" a="1"/>
  <c r="M48" i="21" a="1"/>
  <c r="L17" i="29" a="1"/>
  <c r="L40" i="29" a="1"/>
  <c r="L26" i="26" a="1"/>
  <c r="L15" i="25" a="1"/>
  <c r="M42" i="22" a="1"/>
  <c r="M52" i="22" a="1"/>
  <c r="L21" i="27" a="1"/>
  <c r="L36" i="27" a="1"/>
  <c r="M43" i="20" a="1"/>
  <c r="M53" i="20" a="1"/>
  <c r="M51" i="9" a="1"/>
  <c r="M19" i="19" a="1"/>
  <c r="M27" i="21" a="1"/>
  <c r="L27" i="25" a="1"/>
  <c r="L37" i="27" a="1"/>
  <c r="M27" i="9" a="1"/>
  <c r="M43" i="19" a="1"/>
  <c r="M37" i="21" a="1"/>
  <c r="L22" i="29" a="1"/>
  <c r="L48" i="28" a="1"/>
  <c r="L25" i="24" a="1"/>
  <c r="M18" i="21" a="1"/>
  <c r="M45" i="9" a="1"/>
  <c r="M42" i="23" a="1"/>
  <c r="M28" i="20" a="1"/>
  <c r="M47" i="9" a="1"/>
  <c r="M46" i="19" a="1"/>
  <c r="M33" i="19" a="1"/>
  <c r="L28" i="28" a="1"/>
  <c r="M43" i="23" a="1"/>
  <c r="M23" i="21" a="1"/>
  <c r="L24" i="29" a="1"/>
  <c r="M27" i="19" a="1"/>
  <c r="M35" i="21" a="1"/>
  <c r="M46" i="20" a="1"/>
  <c r="M49" i="19" a="1"/>
  <c r="M19" i="23" a="1"/>
  <c r="L39" i="24" a="1"/>
  <c r="M17" i="21" a="1"/>
  <c r="L38" i="26" a="1"/>
  <c r="L19" i="26" a="1"/>
  <c r="L53" i="26" a="1"/>
  <c r="L31" i="26" a="1"/>
  <c r="L22" i="25" a="1"/>
  <c r="L49" i="25" a="1"/>
  <c r="L29" i="25" a="1"/>
  <c r="M47" i="22" a="1"/>
  <c r="M34" i="22" a="1"/>
  <c r="M29" i="22" a="1"/>
  <c r="L27" i="27" a="1"/>
  <c r="L48" i="27" a="1"/>
  <c r="L24" i="27" a="1"/>
  <c r="M21" i="20" a="1"/>
  <c r="M39" i="20" a="1"/>
  <c r="M31" i="20" a="1"/>
  <c r="M50" i="20" a="1"/>
  <c r="M37" i="9" a="1"/>
  <c r="M46" i="9" a="1"/>
  <c r="M30" i="9" a="1"/>
  <c r="M30" i="19" a="1"/>
  <c r="M22" i="19" a="1"/>
  <c r="L26" i="28" a="1"/>
  <c r="M49" i="21" a="1"/>
  <c r="L17" i="27" a="1"/>
  <c r="M26" i="19" a="1"/>
  <c r="L32" i="28" a="1"/>
  <c r="M16" i="21" a="1"/>
  <c r="L50" i="26" a="1"/>
  <c r="L49" i="26" a="1"/>
  <c r="L43" i="26" a="1"/>
  <c r="L25" i="25" a="1"/>
  <c r="L38" i="25" a="1"/>
  <c r="L41" i="25" a="1"/>
  <c r="M19" i="22" a="1"/>
  <c r="M44" i="22" a="1"/>
  <c r="M43" i="22" a="1"/>
  <c r="M30" i="22" a="1"/>
  <c r="L18" i="27" a="1"/>
  <c r="L43" i="27" a="1"/>
  <c r="L28" i="27" a="1"/>
  <c r="M20" i="20" a="1"/>
  <c r="M17" i="20" a="1"/>
  <c r="M35" i="20" a="1"/>
  <c r="M37" i="20" a="1"/>
  <c r="M16" i="9" a="1"/>
  <c r="M18" i="9" a="1"/>
  <c r="M42" i="9" a="1"/>
  <c r="M41" i="19" a="1"/>
  <c r="M38" i="19" a="1"/>
  <c r="M52" i="19" a="1"/>
  <c r="L43" i="28" a="1"/>
  <c r="L34" i="28" a="1"/>
  <c r="L39" i="28" a="1"/>
  <c r="M34" i="23" a="1"/>
  <c r="M15" i="23" a="1"/>
  <c r="M40" i="23" a="1"/>
  <c r="M24" i="23" a="1"/>
  <c r="L24" i="24" a="1"/>
  <c r="L29" i="24" a="1"/>
  <c r="L46" i="24" a="1"/>
  <c r="M15" i="21" a="1"/>
  <c r="M19" i="21" a="1"/>
  <c r="M43" i="21" a="1"/>
  <c r="L46" i="29" a="1"/>
  <c r="L50" i="29" a="1"/>
  <c r="L18" i="29" a="1"/>
  <c r="L31" i="28" a="1"/>
  <c r="M36" i="23" a="1"/>
  <c r="M29" i="23" a="1"/>
  <c r="L52" i="24" a="1"/>
  <c r="L35" i="24" a="1"/>
  <c r="M29" i="21" a="1"/>
  <c r="M41" i="9" a="1"/>
  <c r="L37" i="28" a="1"/>
  <c r="L44" i="24" a="1"/>
  <c r="L43" i="29" a="1"/>
  <c r="L25" i="26" a="1"/>
  <c r="L36" i="26" a="1"/>
  <c r="L54" i="26" a="1"/>
  <c r="L44" i="25" a="1"/>
  <c r="L35" i="25" a="1"/>
  <c r="L24" i="25" a="1"/>
  <c r="L36" i="25" a="1"/>
  <c r="M38" i="22" a="1"/>
  <c r="M48" i="22" a="1"/>
  <c r="M36" i="22" a="1"/>
  <c r="L20" i="27" a="1"/>
  <c r="L16" i="27" a="1"/>
  <c r="L22" i="27" a="1"/>
  <c r="L53" i="27" a="1"/>
  <c r="M52" i="20" a="1"/>
  <c r="M42" i="20" a="1"/>
  <c r="M19" i="20" a="1"/>
  <c r="M52" i="9" a="1"/>
  <c r="M39" i="9" a="1"/>
  <c r="M43" i="9" a="1"/>
  <c r="M19" i="9" a="1"/>
  <c r="M40" i="19" a="1"/>
  <c r="M31" i="19" a="1"/>
  <c r="L44" i="28" a="1"/>
  <c r="L41" i="28" a="1"/>
  <c r="M18" i="23" a="1"/>
  <c r="L50" i="24" a="1"/>
  <c r="M34" i="21" a="1"/>
  <c r="M54" i="21" a="1"/>
  <c r="L41" i="29" a="1"/>
  <c r="L31" i="29" a="1"/>
  <c r="L53" i="29" a="1"/>
  <c r="L15" i="29" a="1"/>
  <c r="M54" i="22" a="1"/>
  <c r="L30" i="27" a="1"/>
  <c r="L49" i="27" a="1"/>
  <c r="M15" i="20" a="1"/>
  <c r="M48" i="9" a="1"/>
  <c r="M41" i="23" a="1"/>
  <c r="L21" i="24" a="1"/>
  <c r="L27" i="29" a="1"/>
  <c r="L51" i="26" a="1"/>
  <c r="L27" i="26" a="1"/>
  <c r="L34" i="25" a="1"/>
  <c r="L30" i="25" a="1"/>
  <c r="L23" i="25" a="1"/>
  <c r="L48" i="25" a="1"/>
  <c r="M41" i="22" a="1"/>
  <c r="L46" i="26" a="1"/>
  <c r="L24" i="26" a="1"/>
  <c r="L42" i="26" a="1"/>
  <c r="L26" i="25" a="1"/>
  <c r="L37" i="25" a="1"/>
  <c r="L32" i="25" a="1"/>
  <c r="L52" i="25" a="1"/>
  <c r="M26" i="22" a="1"/>
  <c r="M23" i="22" a="1"/>
  <c r="M31" i="22" a="1"/>
  <c r="L26" i="27" a="1"/>
  <c r="L34" i="27" a="1"/>
  <c r="L38" i="27" a="1"/>
  <c r="L54" i="27" a="1"/>
  <c r="M30" i="20" a="1"/>
  <c r="M25" i="20" a="1"/>
  <c r="M23" i="20" a="1"/>
  <c r="M24" i="9" a="1"/>
  <c r="M44" i="9" a="1"/>
  <c r="M40" i="9" a="1"/>
  <c r="M50" i="9" a="1"/>
  <c r="M48" i="19" a="1"/>
  <c r="M18" i="19" a="1"/>
  <c r="M42" i="19" a="1"/>
  <c r="L51" i="28" a="1"/>
  <c r="L23" i="28" a="1"/>
  <c r="L16" i="28" a="1"/>
  <c r="L19" i="28" a="1"/>
  <c r="M32" i="23" a="1"/>
  <c r="M20" i="23" a="1"/>
  <c r="M48" i="23" a="1"/>
  <c r="L26" i="24" a="1"/>
  <c r="L42" i="24" a="1"/>
  <c r="L38" i="24" a="1"/>
  <c r="L31" i="24" a="1"/>
  <c r="M47" i="21" a="1"/>
  <c r="M45" i="21" a="1"/>
  <c r="M32" i="21" a="1"/>
  <c r="L23" i="29" a="1"/>
  <c r="L42" i="29" a="1"/>
  <c r="L47" i="29" a="1"/>
  <c r="L20" i="29" a="1"/>
  <c r="L23" i="26" a="1"/>
  <c r="L33" i="26" a="1"/>
  <c r="L41" i="26" a="1"/>
  <c r="L50" i="25" a="1"/>
  <c r="L46" i="25" a="1"/>
  <c r="M49" i="22" a="1"/>
  <c r="M45" i="22" a="1"/>
  <c r="M32" i="22" a="1"/>
  <c r="M28" i="22" a="1"/>
  <c r="L46" i="27" a="1"/>
  <c r="L41" i="27" a="1"/>
  <c r="M48" i="20" a="1"/>
  <c r="M49" i="20" a="1"/>
  <c r="M33" i="9" a="1"/>
  <c r="M49" i="9" a="1"/>
  <c r="M54" i="9" a="1"/>
  <c r="M37" i="19" a="1"/>
  <c r="M23" i="19" a="1"/>
  <c r="L27" i="28" a="1"/>
  <c r="L25" i="27" a="1"/>
  <c r="L52" i="26" a="1"/>
  <c r="L45" i="26" a="1"/>
  <c r="L34" i="26" a="1"/>
  <c r="L45" i="25" a="1"/>
  <c r="L53" i="25" a="1"/>
  <c r="L18" i="25" a="1"/>
  <c r="L19" i="25" a="1"/>
  <c r="M24" i="22" a="1"/>
  <c r="M20" i="22" a="1"/>
  <c r="M35" i="22" a="1"/>
  <c r="L19" i="27" a="1"/>
  <c r="L15" i="27" a="1"/>
  <c r="L23" i="27" a="1"/>
  <c r="L39" i="27" a="1"/>
  <c r="M51" i="20" a="1"/>
  <c r="M40" i="20" a="1"/>
  <c r="M38" i="20" a="1"/>
  <c r="M28" i="9" a="1"/>
  <c r="M22" i="9" a="1"/>
  <c r="M38" i="9" a="1"/>
  <c r="M29" i="9" a="1"/>
  <c r="M29" i="19" a="1"/>
  <c r="M17" i="19" a="1"/>
  <c r="M47" i="19" a="1"/>
  <c r="L45" i="28" a="1"/>
  <c r="L54" i="28" a="1"/>
  <c r="L47" i="28" a="1"/>
  <c r="L22" i="28" a="1"/>
  <c r="M54" i="23" a="1"/>
  <c r="M47" i="23" a="1"/>
  <c r="M17" i="23" a="1"/>
  <c r="L23" i="24" a="1"/>
  <c r="L16" i="24" a="1"/>
  <c r="L51" i="24" a="1"/>
  <c r="L15" i="24" a="1"/>
  <c r="M31" i="21" a="1"/>
  <c r="M42" i="21" a="1"/>
  <c r="M52" i="21" a="1"/>
  <c r="L38" i="29" a="1"/>
  <c r="L45" i="29" a="1"/>
  <c r="L29" i="29" a="1"/>
  <c r="L32" i="29" a="1"/>
  <c r="M53" i="19" a="1"/>
  <c r="L21" i="28" a="1"/>
  <c r="L52" i="28" a="1"/>
  <c r="L15" i="28" a="1"/>
  <c r="M26" i="23" a="1"/>
  <c r="M35" i="23" a="1"/>
  <c r="L20" i="24" a="1"/>
  <c r="L36" i="24" a="1"/>
  <c r="M25" i="21" a="1"/>
  <c r="M41" i="21" a="1"/>
  <c r="L25" i="29" a="1"/>
  <c r="L54" i="29" a="1"/>
  <c r="L44" i="29" a="1"/>
  <c r="L35" i="29" a="1"/>
  <c r="M46" i="23" a="1"/>
  <c r="M25" i="23" a="1"/>
  <c r="L48" i="24" a="1"/>
  <c r="M36" i="20" a="1"/>
  <c r="M54" i="19" a="1"/>
  <c r="L33" i="28" a="1"/>
  <c r="M38" i="23" a="1"/>
  <c r="M34" i="9" a="1"/>
  <c r="M24" i="19" a="1"/>
  <c r="L35" i="28" a="1"/>
  <c r="M23" i="23" a="1"/>
  <c r="L34" i="24" a="1"/>
  <c r="M44" i="21" a="1"/>
  <c r="L26" i="29" a="1"/>
  <c r="L16" i="26" a="1"/>
  <c r="L43" i="25" a="1"/>
  <c r="L31" i="27" a="1"/>
  <c r="L54" i="24" a="1"/>
  <c r="L49" i="28" a="1"/>
  <c r="M31" i="23" a="1"/>
  <c r="L52" i="29" a="1"/>
  <c r="M47" i="20" a="1"/>
  <c r="M51" i="19" a="1"/>
  <c r="L25" i="28" a="1"/>
  <c r="L42" i="28" a="1"/>
  <c r="M37" i="23" a="1"/>
  <c r="L37" i="24" a="1"/>
  <c r="M50" i="21" a="1"/>
  <c r="L30" i="29" a="1"/>
  <c r="L15" i="26" a="1"/>
  <c r="L40" i="26" a="1"/>
  <c r="L35" i="26" a="1"/>
  <c r="L42" i="25" a="1"/>
  <c r="L31" i="25" a="1"/>
  <c r="L47" i="25" a="1"/>
  <c r="L21" i="25" a="1"/>
  <c r="M33" i="22" a="1"/>
  <c r="M22" i="22" a="1"/>
  <c r="M46" i="22" a="1"/>
  <c r="L35" i="27" a="1"/>
  <c r="L29" i="27" a="1"/>
  <c r="L51" i="27" a="1"/>
  <c r="M29" i="20" a="1"/>
  <c r="M18" i="20" a="1"/>
  <c r="M54" i="20" a="1"/>
  <c r="M21" i="9" a="1"/>
  <c r="M15" i="9" a="1"/>
  <c r="M23" i="9" a="1"/>
  <c r="M16" i="19" a="1"/>
  <c r="M15" i="19" a="1"/>
  <c r="L24" i="28" a="1"/>
  <c r="M16" i="23" a="1"/>
  <c r="L49" i="24" a="1"/>
  <c r="M22" i="21" a="1"/>
  <c r="M22" i="23" a="1"/>
  <c r="M26" i="21" a="1"/>
  <c r="M28" i="21" a="1"/>
  <c r="M46" i="21" a="1"/>
  <c r="L39" i="29" a="1"/>
  <c r="L37" i="29" a="1"/>
  <c r="L21" i="29" a="1"/>
  <c r="L18" i="28" a="1"/>
  <c r="M45" i="23" a="1"/>
  <c r="L34" i="29" a="1"/>
  <c r="L17" i="26" a="1"/>
  <c r="L32" i="26" a="1"/>
  <c r="L37" i="26" a="1"/>
  <c r="L17" i="25" a="1"/>
  <c r="M37" i="22" a="1"/>
  <c r="L32" i="27" a="1"/>
  <c r="M41" i="20" a="1"/>
  <c r="M36" i="19" a="1"/>
  <c r="L46" i="28" a="1"/>
  <c r="M52" i="23" a="1"/>
  <c r="L30" i="24" a="1"/>
  <c r="M33" i="21" a="1"/>
  <c r="M36" i="21" a="1"/>
  <c r="L28" i="29" a="1"/>
  <c r="L39" i="26" a="1"/>
  <c r="L48" i="26" a="1"/>
  <c r="L47" i="26" a="1"/>
  <c r="L39" i="25" a="1"/>
  <c r="M15" i="22" a="1"/>
  <c r="M21" i="22" a="1"/>
  <c r="M44" i="20" a="1"/>
  <c r="M26" i="20" a="1"/>
  <c r="M25" i="19" a="1"/>
  <c r="L50" i="28" a="1"/>
  <c r="L17" i="28" a="1"/>
  <c r="M27" i="23" a="1"/>
  <c r="M51" i="23" a="1"/>
  <c r="L33" i="24" a="1"/>
  <c r="L28" i="24" a="1"/>
  <c r="M51" i="21" a="1"/>
  <c r="M30" i="21" a="1"/>
  <c r="L33" i="29" a="1"/>
  <c r="M34" i="19" a="1"/>
  <c r="L45" i="24" a="1"/>
  <c r="L16" i="29" a="1"/>
  <c r="M50" i="22" a="1"/>
  <c r="L44" i="26" a="1"/>
  <c r="L20" i="26" a="1"/>
  <c r="L30" i="26" a="1"/>
  <c r="L33" i="25" a="1"/>
  <c r="L51" i="25" a="1"/>
  <c r="L40" i="25" a="1"/>
  <c r="M25" i="22" a="1"/>
  <c r="M18" i="22" a="1"/>
  <c r="M27" i="22" a="1"/>
  <c r="L42" i="27" a="1"/>
  <c r="L40" i="27" a="1"/>
  <c r="L33" i="27" a="1"/>
  <c r="M33" i="20" a="1"/>
  <c r="M22" i="20" a="1"/>
  <c r="M45" i="20" a="1"/>
  <c r="M20" i="9" a="1"/>
  <c r="M36" i="9" a="1"/>
  <c r="M25" i="9" a="1"/>
  <c r="M39" i="19" a="1"/>
  <c r="M50" i="19" a="1"/>
  <c r="M21" i="19" a="1"/>
  <c r="L38" i="28" a="1"/>
  <c r="L53" i="28" a="1"/>
  <c r="L20" i="28" a="1"/>
  <c r="L36" i="28" a="1"/>
  <c r="M33" i="23" a="1"/>
  <c r="M30" i="23" a="1"/>
  <c r="M50" i="23" a="1"/>
  <c r="L43" i="24" a="1"/>
  <c r="L17" i="24" a="1"/>
  <c r="L32" i="24" a="1"/>
  <c r="L18" i="24" a="1"/>
  <c r="M53" i="21" a="1"/>
  <c r="M40" i="21" a="1"/>
  <c r="M38" i="21" a="1"/>
  <c r="L48" i="29" a="1"/>
  <c r="L36" i="29" a="1"/>
  <c r="L51" i="29" a="1"/>
  <c r="L19" i="29" a="1"/>
  <c r="L30" i="28" a="1"/>
  <c r="L40" i="24" a="1"/>
  <c r="L47" i="24" a="1"/>
  <c r="L47" i="24" l="1"/>
  <c r="L40" i="24"/>
  <c r="L30" i="28"/>
  <c r="L19" i="29"/>
  <c r="L51" i="29"/>
  <c r="L36" i="29"/>
  <c r="L48" i="29"/>
  <c r="M38" i="21"/>
  <c r="M40" i="21"/>
  <c r="M53" i="21"/>
  <c r="L18" i="24"/>
  <c r="L32" i="24"/>
  <c r="L17" i="24"/>
  <c r="L43" i="24"/>
  <c r="M50" i="23"/>
  <c r="M30" i="23"/>
  <c r="M33" i="23"/>
  <c r="L36" i="28"/>
  <c r="L20" i="28"/>
  <c r="L53" i="28"/>
  <c r="L38" i="28"/>
  <c r="M21" i="19"/>
  <c r="M50" i="19"/>
  <c r="M39" i="19"/>
  <c r="M25" i="9"/>
  <c r="M36" i="9"/>
  <c r="M20" i="9"/>
  <c r="M45" i="20"/>
  <c r="M22" i="20"/>
  <c r="M33" i="20"/>
  <c r="L33" i="27"/>
  <c r="L40" i="27"/>
  <c r="L42" i="27"/>
  <c r="M27" i="22"/>
  <c r="M18" i="22"/>
  <c r="M25" i="22"/>
  <c r="L40" i="25"/>
  <c r="L51" i="25"/>
  <c r="L33" i="25"/>
  <c r="L30" i="26"/>
  <c r="L20" i="26"/>
  <c r="L44" i="26"/>
  <c r="M50" i="22"/>
  <c r="L16" i="29"/>
  <c r="L45" i="24"/>
  <c r="M34" i="19"/>
  <c r="L33" i="29"/>
  <c r="M30" i="21"/>
  <c r="M51" i="21"/>
  <c r="L28" i="24"/>
  <c r="L33" i="24"/>
  <c r="M51" i="23"/>
  <c r="M27" i="23"/>
  <c r="L17" i="28"/>
  <c r="L50" i="28"/>
  <c r="M25" i="19"/>
  <c r="M26" i="20"/>
  <c r="M44" i="20"/>
  <c r="M21" i="22"/>
  <c r="M15" i="22"/>
  <c r="L39" i="25"/>
  <c r="L47" i="26"/>
  <c r="L48" i="26"/>
  <c r="L39" i="26"/>
  <c r="L28" i="29"/>
  <c r="M36" i="21"/>
  <c r="M33" i="21"/>
  <c r="L30" i="24"/>
  <c r="M52" i="23"/>
  <c r="L46" i="28"/>
  <c r="M36" i="19"/>
  <c r="M41" i="20"/>
  <c r="L32" i="27"/>
  <c r="M37" i="22"/>
  <c r="L17" i="25"/>
  <c r="L37" i="26"/>
  <c r="L32" i="26"/>
  <c r="L17" i="26"/>
  <c r="L34" i="29"/>
  <c r="M45" i="23"/>
  <c r="L18" i="28"/>
  <c r="L21" i="29"/>
  <c r="L37" i="29"/>
  <c r="L39" i="29"/>
  <c r="M46" i="21"/>
  <c r="M28" i="21"/>
  <c r="M26" i="21"/>
  <c r="M22" i="23"/>
  <c r="M22" i="21"/>
  <c r="L49" i="24"/>
  <c r="M16" i="23"/>
  <c r="L24" i="28"/>
  <c r="M15" i="19"/>
  <c r="M16" i="19"/>
  <c r="M23" i="9"/>
  <c r="M15" i="9"/>
  <c r="M21" i="9"/>
  <c r="M54" i="20"/>
  <c r="M18" i="20"/>
  <c r="M29" i="20"/>
  <c r="L51" i="27"/>
  <c r="L29" i="27"/>
  <c r="L35" i="27"/>
  <c r="M46" i="22"/>
  <c r="M22" i="22"/>
  <c r="M33" i="22"/>
  <c r="L21" i="25"/>
  <c r="L47" i="25"/>
  <c r="L31" i="25"/>
  <c r="L42" i="25"/>
  <c r="L35" i="26"/>
  <c r="L40" i="26"/>
  <c r="L15" i="26"/>
  <c r="L30" i="29"/>
  <c r="M50" i="21"/>
  <c r="L37" i="24"/>
  <c r="M37" i="23"/>
  <c r="L42" i="28"/>
  <c r="L25" i="28"/>
  <c r="M51" i="19"/>
  <c r="M47" i="20"/>
  <c r="L52" i="29"/>
  <c r="M31" i="23"/>
  <c r="L49" i="28"/>
  <c r="L54" i="24"/>
  <c r="L31" i="27"/>
  <c r="L43" i="25"/>
  <c r="L16" i="26"/>
  <c r="L26" i="29"/>
  <c r="M44" i="21"/>
  <c r="L34" i="24"/>
  <c r="M23" i="23"/>
  <c r="L35" i="28"/>
  <c r="M24" i="19"/>
  <c r="M34" i="9"/>
  <c r="M38" i="23"/>
  <c r="L33" i="28"/>
  <c r="M54" i="19"/>
  <c r="M36" i="20"/>
  <c r="L48" i="24"/>
  <c r="M25" i="23"/>
  <c r="M46" i="23"/>
  <c r="L35" i="29"/>
  <c r="L44" i="29"/>
  <c r="L54" i="29"/>
  <c r="L25" i="29"/>
  <c r="M41" i="21"/>
  <c r="M25" i="21"/>
  <c r="L36" i="24"/>
  <c r="L20" i="24"/>
  <c r="M35" i="23"/>
  <c r="M26" i="23"/>
  <c r="L15" i="28"/>
  <c r="L52" i="28"/>
  <c r="L21" i="28"/>
  <c r="M53" i="19"/>
  <c r="L32" i="29"/>
  <c r="L29" i="29"/>
  <c r="L45" i="29"/>
  <c r="L38" i="29"/>
  <c r="M52" i="21"/>
  <c r="M42" i="21"/>
  <c r="M31" i="21"/>
  <c r="L15" i="24"/>
  <c r="L51" i="24"/>
  <c r="L16" i="24"/>
  <c r="L23" i="24"/>
  <c r="M17" i="23"/>
  <c r="M47" i="23"/>
  <c r="M54" i="23"/>
  <c r="L22" i="28"/>
  <c r="L47" i="28"/>
  <c r="L54" i="28"/>
  <c r="L45" i="28"/>
  <c r="M47" i="19"/>
  <c r="M17" i="19"/>
  <c r="M29" i="19"/>
  <c r="M29" i="9"/>
  <c r="M38" i="9"/>
  <c r="M22" i="9"/>
  <c r="M28" i="9"/>
  <c r="M38" i="20"/>
  <c r="M40" i="20"/>
  <c r="M51" i="20"/>
  <c r="L39" i="27"/>
  <c r="L23" i="27"/>
  <c r="L15" i="27"/>
  <c r="L19" i="27"/>
  <c r="M35" i="22"/>
  <c r="M20" i="22"/>
  <c r="M24" i="22"/>
  <c r="L19" i="25"/>
  <c r="L18" i="25"/>
  <c r="L53" i="25"/>
  <c r="L45" i="25"/>
  <c r="L34" i="26"/>
  <c r="L45" i="26"/>
  <c r="L52" i="26"/>
  <c r="L25" i="27"/>
  <c r="L27" i="28"/>
  <c r="M23" i="19"/>
  <c r="M37" i="19"/>
  <c r="M54" i="9"/>
  <c r="M49" i="9"/>
  <c r="M33" i="9"/>
  <c r="M49" i="20"/>
  <c r="M48" i="20"/>
  <c r="L41" i="27"/>
  <c r="L46" i="27"/>
  <c r="M28" i="22"/>
  <c r="M32" i="22"/>
  <c r="M45" i="22"/>
  <c r="M49" i="22"/>
  <c r="L46" i="25"/>
  <c r="L50" i="25"/>
  <c r="L41" i="26"/>
  <c r="L33" i="26"/>
  <c r="L23" i="26"/>
  <c r="L20" i="29"/>
  <c r="L47" i="29"/>
  <c r="L42" i="29"/>
  <c r="L23" i="29"/>
  <c r="M32" i="21"/>
  <c r="M45" i="21"/>
  <c r="M47" i="21"/>
  <c r="L31" i="24"/>
  <c r="L38" i="24"/>
  <c r="L42" i="24"/>
  <c r="L26" i="24"/>
  <c r="M48" i="23"/>
  <c r="M20" i="23"/>
  <c r="M32" i="23"/>
  <c r="L19" i="28"/>
  <c r="L16" i="28"/>
  <c r="L23" i="28"/>
  <c r="L51" i="28"/>
  <c r="M42" i="19"/>
  <c r="M18" i="19"/>
  <c r="M48" i="19"/>
  <c r="M50" i="9"/>
  <c r="M40" i="9"/>
  <c r="M44" i="9"/>
  <c r="M24" i="9"/>
  <c r="M23" i="20"/>
  <c r="M25" i="20"/>
  <c r="M30" i="20"/>
  <c r="L54" i="27"/>
  <c r="L38" i="27"/>
  <c r="L34" i="27"/>
  <c r="L26" i="27"/>
  <c r="M31" i="22"/>
  <c r="M23" i="22"/>
  <c r="M26" i="22"/>
  <c r="L52" i="25"/>
  <c r="L32" i="25"/>
  <c r="L37" i="25"/>
  <c r="L26" i="25"/>
  <c r="L42" i="26"/>
  <c r="L24" i="26"/>
  <c r="L46" i="26"/>
  <c r="M41" i="22"/>
  <c r="L48" i="25"/>
  <c r="L23" i="25"/>
  <c r="L30" i="25"/>
  <c r="L34" i="25"/>
  <c r="L27" i="26"/>
  <c r="L51" i="26"/>
  <c r="L27" i="29"/>
  <c r="L21" i="24"/>
  <c r="M41" i="23"/>
  <c r="M48" i="9"/>
  <c r="M15" i="20"/>
  <c r="L49" i="27"/>
  <c r="L30" i="27"/>
  <c r="M54" i="22"/>
  <c r="L15" i="29"/>
  <c r="L53" i="29"/>
  <c r="L31" i="29"/>
  <c r="L41" i="29"/>
  <c r="M54" i="21"/>
  <c r="M34" i="21"/>
  <c r="L50" i="24"/>
  <c r="M18" i="23"/>
  <c r="L41" i="28"/>
  <c r="L44" i="28"/>
  <c r="M31" i="19"/>
  <c r="M40" i="19"/>
  <c r="M19" i="9"/>
  <c r="M43" i="9"/>
  <c r="M39" i="9"/>
  <c r="M52" i="9"/>
  <c r="M19" i="20"/>
  <c r="M42" i="20"/>
  <c r="M52" i="20"/>
  <c r="L53" i="27"/>
  <c r="L22" i="27"/>
  <c r="L16" i="27"/>
  <c r="L20" i="27"/>
  <c r="M36" i="22"/>
  <c r="M48" i="22"/>
  <c r="M38" i="22"/>
  <c r="L36" i="25"/>
  <c r="L24" i="25"/>
  <c r="L35" i="25"/>
  <c r="L44" i="25"/>
  <c r="L54" i="26"/>
  <c r="L36" i="26"/>
  <c r="L25" i="26"/>
  <c r="L43" i="29"/>
  <c r="L44" i="24"/>
  <c r="L37" i="28"/>
  <c r="M41" i="9"/>
  <c r="M29" i="21"/>
  <c r="L35" i="24"/>
  <c r="L52" i="24"/>
  <c r="M29" i="23"/>
  <c r="M36" i="23"/>
  <c r="L31" i="28"/>
  <c r="L18" i="29"/>
  <c r="L50" i="29"/>
  <c r="L46" i="29"/>
  <c r="M43" i="21"/>
  <c r="M19" i="21"/>
  <c r="M15" i="21"/>
  <c r="L46" i="24"/>
  <c r="L29" i="24"/>
  <c r="L24" i="24"/>
  <c r="M24" i="23"/>
  <c r="M40" i="23"/>
  <c r="M15" i="23"/>
  <c r="M34" i="23"/>
  <c r="L39" i="28"/>
  <c r="L34" i="28"/>
  <c r="L43" i="28"/>
  <c r="M52" i="19"/>
  <c r="M38" i="19"/>
  <c r="M41" i="19"/>
  <c r="M42" i="9"/>
  <c r="M18" i="9"/>
  <c r="M16" i="9"/>
  <c r="M37" i="20"/>
  <c r="M35" i="20"/>
  <c r="M17" i="20"/>
  <c r="M20" i="20"/>
  <c r="L28" i="27"/>
  <c r="L43" i="27"/>
  <c r="L18" i="27"/>
  <c r="M30" i="22"/>
  <c r="M43" i="22"/>
  <c r="M44" i="22"/>
  <c r="M19" i="22"/>
  <c r="L41" i="25"/>
  <c r="L38" i="25"/>
  <c r="L25" i="25"/>
  <c r="L43" i="26"/>
  <c r="L49" i="26"/>
  <c r="L50" i="26"/>
  <c r="M16" i="21"/>
  <c r="L32" i="28"/>
  <c r="M26" i="19"/>
  <c r="L17" i="27"/>
  <c r="M49" i="21"/>
  <c r="L26" i="28"/>
  <c r="M22" i="19"/>
  <c r="M30" i="19"/>
  <c r="M30" i="9"/>
  <c r="M46" i="9"/>
  <c r="M37" i="9"/>
  <c r="M50" i="20"/>
  <c r="M31" i="20"/>
  <c r="M39" i="20"/>
  <c r="M21" i="20"/>
  <c r="L24" i="27"/>
  <c r="L48" i="27"/>
  <c r="L27" i="27"/>
  <c r="M29" i="22"/>
  <c r="M34" i="22"/>
  <c r="M47" i="22"/>
  <c r="L29" i="25"/>
  <c r="L49" i="25"/>
  <c r="L22" i="25"/>
  <c r="L31" i="26"/>
  <c r="L53" i="26"/>
  <c r="L19" i="26"/>
  <c r="L38" i="26"/>
  <c r="M17" i="21"/>
  <c r="L39" i="24"/>
  <c r="M19" i="23"/>
  <c r="M49" i="19"/>
  <c r="M46" i="20"/>
  <c r="M35" i="21"/>
  <c r="M27" i="19"/>
  <c r="L24" i="29"/>
  <c r="M23" i="21"/>
  <c r="M43" i="23"/>
  <c r="L28" i="28"/>
  <c r="M33" i="19"/>
  <c r="M46" i="19"/>
  <c r="M47" i="9"/>
  <c r="M28" i="20"/>
  <c r="M42" i="23"/>
  <c r="M45" i="9"/>
  <c r="M18" i="21"/>
  <c r="L25" i="24"/>
  <c r="L48" i="28"/>
  <c r="L22" i="29"/>
  <c r="M37" i="21"/>
  <c r="M43" i="19"/>
  <c r="M27" i="9"/>
  <c r="L37" i="27"/>
  <c r="L27" i="25"/>
  <c r="M27" i="21"/>
  <c r="M19" i="19"/>
  <c r="M51" i="9"/>
  <c r="M53" i="20"/>
  <c r="M43" i="20"/>
  <c r="L36" i="27"/>
  <c r="L21" i="27"/>
  <c r="M52" i="22"/>
  <c r="M42" i="22"/>
  <c r="L15" i="25"/>
  <c r="L26" i="26"/>
  <c r="L40" i="29"/>
  <c r="L17" i="29"/>
  <c r="M48" i="21"/>
  <c r="M20" i="21"/>
  <c r="M21" i="21"/>
  <c r="M24" i="21"/>
  <c r="L27" i="24"/>
  <c r="L22" i="24"/>
  <c r="L41" i="24"/>
  <c r="M39" i="23"/>
  <c r="M45" i="19"/>
  <c r="L47" i="27"/>
  <c r="L29" i="26"/>
  <c r="M53" i="9"/>
  <c r="L49" i="29"/>
  <c r="M39" i="21"/>
  <c r="L53" i="24"/>
  <c r="M53" i="23"/>
  <c r="M21" i="23"/>
  <c r="M49" i="23"/>
  <c r="M26" i="9"/>
  <c r="M32" i="20"/>
  <c r="L44" i="27"/>
  <c r="M40" i="22"/>
  <c r="M16" i="22"/>
  <c r="L19" i="24"/>
  <c r="M28" i="23"/>
  <c r="M44" i="19"/>
  <c r="M31" i="9"/>
  <c r="M16" i="20"/>
  <c r="L16" i="25"/>
  <c r="M44" i="23"/>
  <c r="L29" i="28"/>
  <c r="L40" i="28"/>
  <c r="M20" i="19"/>
  <c r="M32" i="19"/>
  <c r="M28" i="19"/>
  <c r="M35" i="19"/>
  <c r="M32" i="9"/>
  <c r="M17" i="9"/>
  <c r="M35" i="9"/>
  <c r="M34" i="20"/>
  <c r="M27" i="20"/>
  <c r="M24" i="20"/>
  <c r="L52" i="27"/>
  <c r="L45" i="27"/>
  <c r="L50" i="27"/>
  <c r="M51" i="22"/>
  <c r="M17" i="22"/>
  <c r="M39" i="22"/>
  <c r="M53" i="22"/>
  <c r="L20" i="25"/>
  <c r="L54" i="25"/>
  <c r="L28" i="25"/>
  <c r="L21" i="26"/>
  <c r="L18" i="26"/>
  <c r="L22" i="26"/>
  <c r="L28" i="26"/>
  <c r="N12" i="21"/>
  <c r="O11" i="21"/>
  <c r="N12" i="9"/>
  <c r="O11" i="9"/>
  <c r="N11" i="25"/>
  <c r="M12" i="25"/>
  <c r="M12" i="27"/>
  <c r="N11" i="27"/>
  <c r="N11" i="24"/>
  <c r="M12" i="24"/>
  <c r="M12" i="26"/>
  <c r="N11" i="26"/>
  <c r="N12" i="19"/>
  <c r="O11" i="19"/>
  <c r="M12" i="29"/>
  <c r="N11" i="29"/>
  <c r="M12" i="28"/>
  <c r="N11" i="28"/>
  <c r="N12" i="22"/>
  <c r="O11" i="22"/>
  <c r="O11" i="23"/>
  <c r="N12" i="23"/>
  <c r="O11" i="20"/>
  <c r="N12" i="20"/>
  <c r="M20" i="24" a="1"/>
  <c r="N45" i="19" a="1"/>
  <c r="N36" i="20" a="1"/>
  <c r="N23" i="19" a="1"/>
  <c r="M39" i="29" a="1"/>
  <c r="M19" i="28" a="1"/>
  <c r="N28" i="22" a="1"/>
  <c r="N25" i="22" a="1"/>
  <c r="N50" i="22" a="1"/>
  <c r="N26" i="23" a="1"/>
  <c r="N31" i="21" a="1"/>
  <c r="N26" i="21" a="1"/>
  <c r="N45" i="21" a="1"/>
  <c r="N29" i="21" a="1"/>
  <c r="N47" i="9" a="1"/>
  <c r="N15" i="9" a="1"/>
  <c r="N27" i="9" a="1"/>
  <c r="M52" i="25" a="1"/>
  <c r="M23" i="25" a="1"/>
  <c r="M43" i="25" a="1"/>
  <c r="M46" i="27" a="1"/>
  <c r="M44" i="24" a="1"/>
  <c r="M53" i="26" a="1"/>
  <c r="N54" i="19" a="1"/>
  <c r="M52" i="28" a="1"/>
  <c r="N43" i="23" a="1"/>
  <c r="M25" i="24" a="1"/>
  <c r="N49" i="19" a="1"/>
  <c r="M27" i="29" a="1"/>
  <c r="N45" i="23" a="1"/>
  <c r="M40" i="28" a="1"/>
  <c r="N35" i="21" a="1"/>
  <c r="N52" i="21" a="1"/>
  <c r="N53" i="21" a="1"/>
  <c r="N29" i="9" a="1"/>
  <c r="N35" i="9" a="1"/>
  <c r="N39" i="9" a="1"/>
  <c r="M45" i="25" a="1"/>
  <c r="M53" i="25" a="1"/>
  <c r="M37" i="25" a="1"/>
  <c r="M46" i="25" a="1"/>
  <c r="M37" i="27" a="1"/>
  <c r="M24" i="27" a="1"/>
  <c r="M49" i="27" a="1"/>
  <c r="M28" i="24" a="1"/>
  <c r="M30" i="24" a="1"/>
  <c r="M35" i="24" a="1"/>
  <c r="M19" i="24" a="1"/>
  <c r="M34" i="26" a="1"/>
  <c r="M23" i="26" a="1"/>
  <c r="M21" i="26" a="1"/>
  <c r="N35" i="19" a="1"/>
  <c r="N32" i="19" a="1"/>
  <c r="N52" i="19" a="1"/>
  <c r="N34" i="19" a="1"/>
  <c r="M22" i="29" a="1"/>
  <c r="M29" i="29" a="1"/>
  <c r="M35" i="29" a="1"/>
  <c r="M36" i="28" a="1"/>
  <c r="M43" i="28" a="1"/>
  <c r="M44" i="28" a="1"/>
  <c r="M22" i="28" a="1"/>
  <c r="N44" i="22" a="1"/>
  <c r="N46" i="22" a="1"/>
  <c r="N53" i="22" a="1"/>
  <c r="N35" i="23" a="1"/>
  <c r="N22" i="23" a="1"/>
  <c r="N33" i="23" a="1"/>
  <c r="N51" i="23" a="1"/>
  <c r="N33" i="20" a="1"/>
  <c r="N48" i="20" a="1"/>
  <c r="N22" i="20" a="1"/>
  <c r="N19" i="21" a="1"/>
  <c r="N47" i="21" a="1"/>
  <c r="N22" i="21" a="1"/>
  <c r="N52" i="9" a="1"/>
  <c r="N54" i="9" a="1"/>
  <c r="N53" i="9" a="1"/>
  <c r="M24" i="25" a="1"/>
  <c r="M51" i="25" a="1"/>
  <c r="M47" i="25" a="1"/>
  <c r="M27" i="25" a="1"/>
  <c r="M41" i="27" a="1"/>
  <c r="M34" i="27" a="1"/>
  <c r="M21" i="27" a="1"/>
  <c r="M22" i="24" a="1"/>
  <c r="M53" i="24" a="1"/>
  <c r="M45" i="24" a="1"/>
  <c r="M46" i="24" a="1"/>
  <c r="M50" i="26" a="1"/>
  <c r="M42" i="26" a="1"/>
  <c r="M35" i="26" a="1"/>
  <c r="N41" i="19" a="1"/>
  <c r="N53" i="19" a="1"/>
  <c r="N37" i="19" a="1"/>
  <c r="N31" i="19" a="1"/>
  <c r="M53" i="29" a="1"/>
  <c r="M44" i="29" a="1"/>
  <c r="M49" i="28" a="1"/>
  <c r="M41" i="28" a="1"/>
  <c r="M30" i="28" a="1"/>
  <c r="M15" i="28" a="1"/>
  <c r="N47" i="22" a="1"/>
  <c r="N17" i="22" a="1"/>
  <c r="N40" i="22" a="1"/>
  <c r="N16" i="23" a="1"/>
  <c r="N44" i="23" a="1"/>
  <c r="N48" i="23" a="1"/>
  <c r="N50" i="23" a="1"/>
  <c r="N29" i="20" a="1"/>
  <c r="N23" i="20" a="1"/>
  <c r="N51" i="20" a="1"/>
  <c r="M42" i="27" a="1"/>
  <c r="M31" i="26" a="1"/>
  <c r="N42" i="23" a="1"/>
  <c r="N25" i="20" a="1"/>
  <c r="N29" i="23" a="1"/>
  <c r="N18" i="20" a="1"/>
  <c r="N19" i="20" a="1"/>
  <c r="N30" i="21" a="1"/>
  <c r="N26" i="20" a="1"/>
  <c r="M25" i="29" a="1"/>
  <c r="N51" i="21" a="1"/>
  <c r="N15" i="21" a="1"/>
  <c r="N40" i="21" a="1"/>
  <c r="N48" i="21" a="1"/>
  <c r="N22" i="9" a="1"/>
  <c r="N28" i="9" a="1"/>
  <c r="N37" i="9" a="1"/>
  <c r="M34" i="25" a="1"/>
  <c r="M36" i="25" a="1"/>
  <c r="M15" i="25" a="1"/>
  <c r="M38" i="25" a="1"/>
  <c r="M19" i="27" a="1"/>
  <c r="M53" i="27" a="1"/>
  <c r="M50" i="24" a="1"/>
  <c r="M40" i="24" a="1"/>
  <c r="M33" i="26" a="1"/>
  <c r="N18" i="19" a="1"/>
  <c r="M27" i="28" a="1"/>
  <c r="M48" i="28" a="1"/>
  <c r="M39" i="28" a="1"/>
  <c r="N49" i="22" a="1"/>
  <c r="N36" i="23" a="1"/>
  <c r="N20" i="20" a="1"/>
  <c r="M50" i="28" a="1"/>
  <c r="N34" i="23" a="1"/>
  <c r="N31" i="20" a="1"/>
  <c r="N25" i="21" a="1"/>
  <c r="N46" i="21" a="1"/>
  <c r="N23" i="21" a="1"/>
  <c r="N26" i="9" a="1"/>
  <c r="N30" i="9" a="1"/>
  <c r="N36" i="9" a="1"/>
  <c r="M25" i="25" a="1"/>
  <c r="M48" i="25" a="1"/>
  <c r="M18" i="25" a="1"/>
  <c r="M38" i="27" a="1"/>
  <c r="M40" i="27" a="1"/>
  <c r="M39" i="27" a="1"/>
  <c r="M41" i="24" a="1"/>
  <c r="M42" i="24" a="1"/>
  <c r="M39" i="24" a="1"/>
  <c r="M51" i="24" a="1"/>
  <c r="M28" i="26" a="1"/>
  <c r="M49" i="26" a="1"/>
  <c r="M39" i="26" a="1"/>
  <c r="N20" i="19" a="1"/>
  <c r="N44" i="19" a="1"/>
  <c r="N25" i="19" a="1"/>
  <c r="N38" i="19" a="1"/>
  <c r="M48" i="29" a="1"/>
  <c r="M54" i="29" a="1"/>
  <c r="M47" i="29" a="1"/>
  <c r="M45" i="28" a="1"/>
  <c r="M20" i="28" a="1"/>
  <c r="M16" i="28" a="1"/>
  <c r="M18" i="28" a="1"/>
  <c r="N15" i="22" a="1"/>
  <c r="N16" i="22" a="1"/>
  <c r="N36" i="22" a="1"/>
  <c r="N23" i="23" a="1"/>
  <c r="N17" i="23" a="1"/>
  <c r="N47" i="23" a="1"/>
  <c r="N27" i="20" a="1"/>
  <c r="N39" i="20" a="1"/>
  <c r="N28" i="20" a="1"/>
  <c r="N28" i="21" a="1"/>
  <c r="N19" i="9" a="1"/>
  <c r="M44" i="25" a="1"/>
  <c r="M54" i="25" a="1"/>
  <c r="M52" i="27" a="1"/>
  <c r="M29" i="27" a="1"/>
  <c r="M50" i="27" a="1"/>
  <c r="M34" i="24" a="1"/>
  <c r="M52" i="24" a="1"/>
  <c r="M22" i="26" a="1"/>
  <c r="M38" i="26" a="1"/>
  <c r="M40" i="26" a="1"/>
  <c r="M37" i="26" a="1"/>
  <c r="M30" i="29" a="1"/>
  <c r="M47" i="28" a="1"/>
  <c r="N37" i="20" a="1"/>
  <c r="N42" i="21" a="1"/>
  <c r="N39" i="21" a="1"/>
  <c r="N16" i="9" a="1"/>
  <c r="N18" i="9" a="1"/>
  <c r="M22" i="25" a="1"/>
  <c r="M51" i="27" a="1"/>
  <c r="N16" i="19" a="1"/>
  <c r="M32" i="29" a="1"/>
  <c r="N48" i="22" a="1"/>
  <c r="N49" i="20" a="1"/>
  <c r="N32" i="21" a="1"/>
  <c r="N50" i="21" a="1"/>
  <c r="N44" i="21" a="1"/>
  <c r="N42" i="9" a="1"/>
  <c r="N23" i="9" a="1"/>
  <c r="N46" i="9" a="1"/>
  <c r="N25" i="9" a="1"/>
  <c r="M31" i="25" a="1"/>
  <c r="M40" i="25" a="1"/>
  <c r="M17" i="25" a="1"/>
  <c r="M28" i="27" a="1"/>
  <c r="M35" i="27" a="1"/>
  <c r="M31" i="27" a="1"/>
  <c r="M15" i="24" a="1"/>
  <c r="M24" i="24" a="1"/>
  <c r="M26" i="24" a="1"/>
  <c r="M47" i="26" a="1"/>
  <c r="M54" i="26" a="1"/>
  <c r="M52" i="26" a="1"/>
  <c r="M46" i="26" a="1"/>
  <c r="N50" i="19" a="1"/>
  <c r="N30" i="19" a="1"/>
  <c r="N19" i="19" a="1"/>
  <c r="M45" i="29" a="1"/>
  <c r="M23" i="29" a="1"/>
  <c r="M43" i="29" a="1"/>
  <c r="M19" i="29" a="1"/>
  <c r="M54" i="28" a="1"/>
  <c r="M37" i="28" a="1"/>
  <c r="M25" i="28" a="1"/>
  <c r="N26" i="22" a="1"/>
  <c r="N22" i="22" a="1"/>
  <c r="N34" i="22" a="1"/>
  <c r="N37" i="22" a="1"/>
  <c r="N32" i="23" a="1"/>
  <c r="N38" i="23" a="1"/>
  <c r="N40" i="23" a="1"/>
  <c r="N24" i="20" a="1"/>
  <c r="N27" i="21" a="1"/>
  <c r="N49" i="21" a="1"/>
  <c r="N43" i="21" a="1"/>
  <c r="N41" i="9" a="1"/>
  <c r="N49" i="9" a="1"/>
  <c r="N50" i="9" a="1"/>
  <c r="N45" i="9" a="1"/>
  <c r="M50" i="25" a="1"/>
  <c r="M16" i="25" a="1"/>
  <c r="M23" i="27" a="1"/>
  <c r="M30" i="27" a="1"/>
  <c r="M47" i="27" a="1"/>
  <c r="M48" i="27" a="1"/>
  <c r="M17" i="24" a="1"/>
  <c r="M27" i="24" a="1"/>
  <c r="M23" i="24" a="1"/>
  <c r="M51" i="26" a="1"/>
  <c r="M20" i="26" a="1"/>
  <c r="M19" i="26" a="1"/>
  <c r="N36" i="19" a="1"/>
  <c r="N33" i="19" a="1"/>
  <c r="N39" i="19" a="1"/>
  <c r="M15" i="29" a="1"/>
  <c r="M16" i="29" a="1"/>
  <c r="M17" i="29" a="1"/>
  <c r="M46" i="29" a="1"/>
  <c r="M17" i="28" a="1"/>
  <c r="M31" i="28" a="1"/>
  <c r="N43" i="22" a="1"/>
  <c r="N33" i="22" a="1"/>
  <c r="N29" i="22" a="1"/>
  <c r="N20" i="22" a="1"/>
  <c r="N25" i="23" a="1"/>
  <c r="N31" i="23" a="1"/>
  <c r="N46" i="23" a="1"/>
  <c r="N50" i="20" a="1"/>
  <c r="N46" i="20" a="1"/>
  <c r="N41" i="20" a="1"/>
  <c r="N38" i="21" a="1"/>
  <c r="N44" i="9" a="1"/>
  <c r="N40" i="9" a="1"/>
  <c r="N20" i="9" a="1"/>
  <c r="M21" i="25" a="1"/>
  <c r="M43" i="27" a="1"/>
  <c r="M44" i="27" a="1"/>
  <c r="M49" i="24" a="1"/>
  <c r="M16" i="26" a="1"/>
  <c r="M45" i="26" a="1"/>
  <c r="M41" i="26" a="1"/>
  <c r="N48" i="19" a="1"/>
  <c r="N27" i="19" a="1"/>
  <c r="M26" i="29" a="1"/>
  <c r="M21" i="29" a="1"/>
  <c r="M41" i="29" a="1"/>
  <c r="M28" i="28" a="1"/>
  <c r="M34" i="28" a="1"/>
  <c r="N24" i="23" a="1"/>
  <c r="N34" i="20" a="1"/>
  <c r="N36" i="21" a="1"/>
  <c r="N20" i="21" a="1"/>
  <c r="N54" i="21" a="1"/>
  <c r="N24" i="9" a="1"/>
  <c r="N38" i="9" a="1"/>
  <c r="M20" i="25" a="1"/>
  <c r="N15" i="19" a="1"/>
  <c r="N21" i="19" a="1"/>
  <c r="M36" i="29" a="1"/>
  <c r="M40" i="29" a="1"/>
  <c r="M24" i="28" a="1"/>
  <c r="M21" i="28" a="1"/>
  <c r="M35" i="28" a="1"/>
  <c r="N27" i="22" a="1"/>
  <c r="N38" i="22" a="1"/>
  <c r="N39" i="22" a="1"/>
  <c r="N30" i="23" a="1"/>
  <c r="M45" i="27" a="1"/>
  <c r="M47" i="24" a="1"/>
  <c r="N34" i="21" a="1"/>
  <c r="N17" i="21" a="1"/>
  <c r="N17" i="9" a="1"/>
  <c r="M39" i="25" a="1"/>
  <c r="M41" i="25" a="1"/>
  <c r="M20" i="27" a="1"/>
  <c r="M17" i="27" a="1"/>
  <c r="M18" i="24" a="1"/>
  <c r="M36" i="24" a="1"/>
  <c r="M25" i="26" a="1"/>
  <c r="N46" i="19" a="1"/>
  <c r="M24" i="29" a="1"/>
  <c r="M53" i="28" a="1"/>
  <c r="N23" i="22" a="1"/>
  <c r="N42" i="22" a="1"/>
  <c r="N24" i="22" a="1"/>
  <c r="N39" i="23" a="1"/>
  <c r="N21" i="23" a="1"/>
  <c r="N54" i="20" a="1"/>
  <c r="N38" i="20" a="1"/>
  <c r="N35" i="20" a="1"/>
  <c r="N21" i="21" a="1"/>
  <c r="N41" i="21" a="1"/>
  <c r="N33" i="21" a="1"/>
  <c r="N31" i="9" a="1"/>
  <c r="N48" i="9" a="1"/>
  <c r="N21" i="9" a="1"/>
  <c r="M32" i="25" a="1"/>
  <c r="M30" i="25" a="1"/>
  <c r="M29" i="25" a="1"/>
  <c r="M26" i="27" a="1"/>
  <c r="M32" i="27" a="1"/>
  <c r="M22" i="27" a="1"/>
  <c r="M16" i="24" a="1"/>
  <c r="M31" i="24" a="1"/>
  <c r="M33" i="24" a="1"/>
  <c r="M18" i="26" a="1"/>
  <c r="M15" i="26" a="1"/>
  <c r="M44" i="26" a="1"/>
  <c r="M36" i="26" a="1"/>
  <c r="N29" i="19" a="1"/>
  <c r="N40" i="19" a="1"/>
  <c r="N47" i="19" a="1"/>
  <c r="M51" i="29" a="1"/>
  <c r="M34" i="29" a="1"/>
  <c r="M52" i="29" a="1"/>
  <c r="M49" i="29" a="1"/>
  <c r="M23" i="28" a="1"/>
  <c r="M51" i="28" a="1"/>
  <c r="M33" i="28" a="1"/>
  <c r="N18" i="22" a="1"/>
  <c r="N31" i="22" a="1"/>
  <c r="N19" i="22" a="1"/>
  <c r="N32" i="22" a="1"/>
  <c r="N20" i="23" a="1"/>
  <c r="N19" i="23" a="1"/>
  <c r="N44" i="20" a="1"/>
  <c r="N21" i="20" a="1"/>
  <c r="N32" i="20" a="1"/>
  <c r="N16" i="20" a="1"/>
  <c r="M30" i="26" a="1"/>
  <c r="N26" i="19" a="1"/>
  <c r="M17" i="26" a="1"/>
  <c r="M38" i="29" a="1"/>
  <c r="M42" i="28" a="1"/>
  <c r="N52" i="22" a="1"/>
  <c r="N54" i="23" a="1"/>
  <c r="N28" i="23" a="1"/>
  <c r="N40" i="20" a="1"/>
  <c r="M38" i="24" a="1"/>
  <c r="N51" i="19" a="1"/>
  <c r="M42" i="29" a="1"/>
  <c r="N41" i="22" a="1"/>
  <c r="N52" i="23" a="1"/>
  <c r="N42" i="19" a="1"/>
  <c r="N24" i="21" a="1"/>
  <c r="N16" i="21" a="1"/>
  <c r="N37" i="21" a="1"/>
  <c r="N32" i="9" a="1"/>
  <c r="N43" i="9" a="1"/>
  <c r="N33" i="9" a="1"/>
  <c r="N51" i="9" a="1"/>
  <c r="M33" i="25" a="1"/>
  <c r="M26" i="25" a="1"/>
  <c r="M42" i="25" a="1"/>
  <c r="M18" i="27" a="1"/>
  <c r="M25" i="27" a="1"/>
  <c r="M16" i="27" a="1"/>
  <c r="M54" i="27" a="1"/>
  <c r="M21" i="24" a="1"/>
  <c r="M37" i="24" a="1"/>
  <c r="M43" i="24" a="1"/>
  <c r="M26" i="26" a="1"/>
  <c r="M43" i="26" a="1"/>
  <c r="M29" i="26" a="1"/>
  <c r="N17" i="19" a="1"/>
  <c r="N24" i="19" a="1"/>
  <c r="M37" i="29" a="1"/>
  <c r="M31" i="29" a="1"/>
  <c r="M18" i="29" a="1"/>
  <c r="M20" i="29" a="1"/>
  <c r="M29" i="28" a="1"/>
  <c r="M32" i="28" a="1"/>
  <c r="N51" i="22" a="1"/>
  <c r="N30" i="22" a="1"/>
  <c r="N45" i="22" a="1"/>
  <c r="N41" i="23" a="1"/>
  <c r="N15" i="23" a="1"/>
  <c r="N18" i="23" a="1"/>
  <c r="N45" i="20" a="1"/>
  <c r="N43" i="20" a="1"/>
  <c r="N52" i="20" a="1"/>
  <c r="N42" i="20" a="1"/>
  <c r="N18" i="21" a="1"/>
  <c r="N34" i="9" a="1"/>
  <c r="M28" i="25" a="1"/>
  <c r="M19" i="25" a="1"/>
  <c r="M35" i="25" a="1"/>
  <c r="M36" i="27" a="1"/>
  <c r="M33" i="27" a="1"/>
  <c r="M15" i="27" a="1"/>
  <c r="M32" i="24" a="1"/>
  <c r="M29" i="24" a="1"/>
  <c r="M48" i="24" a="1"/>
  <c r="M24" i="26" a="1"/>
  <c r="M48" i="26" a="1"/>
  <c r="M27" i="26" a="1"/>
  <c r="N43" i="19" a="1"/>
  <c r="M50" i="29" a="1"/>
  <c r="M26" i="28" a="1"/>
  <c r="N53" i="23" a="1"/>
  <c r="N49" i="23" a="1"/>
  <c r="N27" i="23" a="1"/>
  <c r="N17" i="20" a="1"/>
  <c r="N53" i="20" a="1"/>
  <c r="N47" i="20" a="1"/>
  <c r="M49" i="25" a="1"/>
  <c r="M27" i="27" a="1"/>
  <c r="M54" i="24" a="1"/>
  <c r="M32" i="26" a="1"/>
  <c r="N22" i="19" a="1"/>
  <c r="N28" i="19" a="1"/>
  <c r="M33" i="29" a="1"/>
  <c r="M28" i="29" a="1"/>
  <c r="M46" i="28" a="1"/>
  <c r="M38" i="28" a="1"/>
  <c r="N35" i="22" a="1"/>
  <c r="N54" i="22" a="1"/>
  <c r="N37" i="23" a="1"/>
  <c r="N15" i="20" a="1"/>
  <c r="N21" i="22" a="1"/>
  <c r="N30" i="20" a="1"/>
  <c r="N30" i="20" l="1"/>
  <c r="N21" i="22"/>
  <c r="N15" i="20"/>
  <c r="N37" i="23"/>
  <c r="N54" i="22"/>
  <c r="N35" i="22"/>
  <c r="M38" i="28"/>
  <c r="M46" i="28"/>
  <c r="M28" i="29"/>
  <c r="M33" i="29"/>
  <c r="N28" i="19"/>
  <c r="N22" i="19"/>
  <c r="M32" i="26"/>
  <c r="M54" i="24"/>
  <c r="M27" i="27"/>
  <c r="M49" i="25"/>
  <c r="N47" i="20"/>
  <c r="N53" i="20"/>
  <c r="N17" i="20"/>
  <c r="N27" i="23"/>
  <c r="N49" i="23"/>
  <c r="N53" i="23"/>
  <c r="M26" i="28"/>
  <c r="M50" i="29"/>
  <c r="N43" i="19"/>
  <c r="M27" i="26"/>
  <c r="M48" i="26"/>
  <c r="M24" i="26"/>
  <c r="M48" i="24"/>
  <c r="M29" i="24"/>
  <c r="M32" i="24"/>
  <c r="M15" i="27"/>
  <c r="M33" i="27"/>
  <c r="M36" i="27"/>
  <c r="M35" i="25"/>
  <c r="M19" i="25"/>
  <c r="M28" i="25"/>
  <c r="N34" i="9"/>
  <c r="N18" i="21"/>
  <c r="N42" i="20"/>
  <c r="N52" i="20"/>
  <c r="N43" i="20"/>
  <c r="N45" i="20"/>
  <c r="N18" i="23"/>
  <c r="N15" i="23"/>
  <c r="N41" i="23"/>
  <c r="N45" i="22"/>
  <c r="N30" i="22"/>
  <c r="N51" i="22"/>
  <c r="M32" i="28"/>
  <c r="M29" i="28"/>
  <c r="M20" i="29"/>
  <c r="M18" i="29"/>
  <c r="M31" i="29"/>
  <c r="M37" i="29"/>
  <c r="N24" i="19"/>
  <c r="N17" i="19"/>
  <c r="M29" i="26"/>
  <c r="M43" i="26"/>
  <c r="M26" i="26"/>
  <c r="M43" i="24"/>
  <c r="M37" i="24"/>
  <c r="M21" i="24"/>
  <c r="M54" i="27"/>
  <c r="M16" i="27"/>
  <c r="M25" i="27"/>
  <c r="M18" i="27"/>
  <c r="M42" i="25"/>
  <c r="M26" i="25"/>
  <c r="M33" i="25"/>
  <c r="N51" i="9"/>
  <c r="N33" i="9"/>
  <c r="N43" i="9"/>
  <c r="N32" i="9"/>
  <c r="N37" i="21"/>
  <c r="N16" i="21"/>
  <c r="N24" i="21"/>
  <c r="N42" i="19"/>
  <c r="N52" i="23"/>
  <c r="N41" i="22"/>
  <c r="M42" i="29"/>
  <c r="N51" i="19"/>
  <c r="M38" i="24"/>
  <c r="N40" i="20"/>
  <c r="N28" i="23"/>
  <c r="N54" i="23"/>
  <c r="N52" i="22"/>
  <c r="M42" i="28"/>
  <c r="M38" i="29"/>
  <c r="M17" i="26"/>
  <c r="N26" i="19"/>
  <c r="M30" i="26"/>
  <c r="N16" i="20"/>
  <c r="N32" i="20"/>
  <c r="N21" i="20"/>
  <c r="N44" i="20"/>
  <c r="N19" i="23"/>
  <c r="N20" i="23"/>
  <c r="N32" i="22"/>
  <c r="N19" i="22"/>
  <c r="N31" i="22"/>
  <c r="N18" i="22"/>
  <c r="M33" i="28"/>
  <c r="M51" i="28"/>
  <c r="M23" i="28"/>
  <c r="M49" i="29"/>
  <c r="M52" i="29"/>
  <c r="M34" i="29"/>
  <c r="M51" i="29"/>
  <c r="N47" i="19"/>
  <c r="N40" i="19"/>
  <c r="N29" i="19"/>
  <c r="M36" i="26"/>
  <c r="M44" i="26"/>
  <c r="M15" i="26"/>
  <c r="M18" i="26"/>
  <c r="M33" i="24"/>
  <c r="M31" i="24"/>
  <c r="M16" i="24"/>
  <c r="M22" i="27"/>
  <c r="M32" i="27"/>
  <c r="M26" i="27"/>
  <c r="M29" i="25"/>
  <c r="M30" i="25"/>
  <c r="M32" i="25"/>
  <c r="N21" i="9"/>
  <c r="N48" i="9"/>
  <c r="N31" i="9"/>
  <c r="N33" i="21"/>
  <c r="N41" i="21"/>
  <c r="N21" i="21"/>
  <c r="N35" i="20"/>
  <c r="N38" i="20"/>
  <c r="N54" i="20"/>
  <c r="N21" i="23"/>
  <c r="N39" i="23"/>
  <c r="N24" i="22"/>
  <c r="N42" i="22"/>
  <c r="N23" i="22"/>
  <c r="M53" i="28"/>
  <c r="M24" i="29"/>
  <c r="N46" i="19"/>
  <c r="M25" i="26"/>
  <c r="M36" i="24"/>
  <c r="M18" i="24"/>
  <c r="M17" i="27"/>
  <c r="M20" i="27"/>
  <c r="M41" i="25"/>
  <c r="M39" i="25"/>
  <c r="N17" i="9"/>
  <c r="N17" i="21"/>
  <c r="N34" i="21"/>
  <c r="M47" i="24"/>
  <c r="M45" i="27"/>
  <c r="N30" i="23"/>
  <c r="N39" i="22"/>
  <c r="N38" i="22"/>
  <c r="N27" i="22"/>
  <c r="M35" i="28"/>
  <c r="M21" i="28"/>
  <c r="M24" i="28"/>
  <c r="M40" i="29"/>
  <c r="M36" i="29"/>
  <c r="N21" i="19"/>
  <c r="N15" i="19"/>
  <c r="M20" i="25"/>
  <c r="N38" i="9"/>
  <c r="N24" i="9"/>
  <c r="N54" i="21"/>
  <c r="N20" i="21"/>
  <c r="N36" i="21"/>
  <c r="N34" i="20"/>
  <c r="N24" i="23"/>
  <c r="M34" i="28"/>
  <c r="M28" i="28"/>
  <c r="M41" i="29"/>
  <c r="M21" i="29"/>
  <c r="M26" i="29"/>
  <c r="N27" i="19"/>
  <c r="N48" i="19"/>
  <c r="M41" i="26"/>
  <c r="M45" i="26"/>
  <c r="M16" i="26"/>
  <c r="M49" i="24"/>
  <c r="M44" i="27"/>
  <c r="M43" i="27"/>
  <c r="M21" i="25"/>
  <c r="N20" i="9"/>
  <c r="N40" i="9"/>
  <c r="N44" i="9"/>
  <c r="N38" i="21"/>
  <c r="N41" i="20"/>
  <c r="N46" i="20"/>
  <c r="N50" i="20"/>
  <c r="N46" i="23"/>
  <c r="N31" i="23"/>
  <c r="N25" i="23"/>
  <c r="N20" i="22"/>
  <c r="N29" i="22"/>
  <c r="N33" i="22"/>
  <c r="N43" i="22"/>
  <c r="M31" i="28"/>
  <c r="M17" i="28"/>
  <c r="M46" i="29"/>
  <c r="M17" i="29"/>
  <c r="M16" i="29"/>
  <c r="M15" i="29"/>
  <c r="N39" i="19"/>
  <c r="N33" i="19"/>
  <c r="N36" i="19"/>
  <c r="M19" i="26"/>
  <c r="M20" i="26"/>
  <c r="M51" i="26"/>
  <c r="M23" i="24"/>
  <c r="M27" i="24"/>
  <c r="M17" i="24"/>
  <c r="M48" i="27"/>
  <c r="M47" i="27"/>
  <c r="M30" i="27"/>
  <c r="M23" i="27"/>
  <c r="M16" i="25"/>
  <c r="M50" i="25"/>
  <c r="N45" i="9"/>
  <c r="N50" i="9"/>
  <c r="N49" i="9"/>
  <c r="N41" i="9"/>
  <c r="N43" i="21"/>
  <c r="N49" i="21"/>
  <c r="N27" i="21"/>
  <c r="N24" i="20"/>
  <c r="N40" i="23"/>
  <c r="N38" i="23"/>
  <c r="N32" i="23"/>
  <c r="N37" i="22"/>
  <c r="N34" i="22"/>
  <c r="N22" i="22"/>
  <c r="N26" i="22"/>
  <c r="M25" i="28"/>
  <c r="M37" i="28"/>
  <c r="M54" i="28"/>
  <c r="M19" i="29"/>
  <c r="M43" i="29"/>
  <c r="M23" i="29"/>
  <c r="M45" i="29"/>
  <c r="N19" i="19"/>
  <c r="N30" i="19"/>
  <c r="N50" i="19"/>
  <c r="M46" i="26"/>
  <c r="M52" i="26"/>
  <c r="M54" i="26"/>
  <c r="M47" i="26"/>
  <c r="M26" i="24"/>
  <c r="M24" i="24"/>
  <c r="M15" i="24"/>
  <c r="M31" i="27"/>
  <c r="M35" i="27"/>
  <c r="M28" i="27"/>
  <c r="M17" i="25"/>
  <c r="M40" i="25"/>
  <c r="M31" i="25"/>
  <c r="N25" i="9"/>
  <c r="N46" i="9"/>
  <c r="N23" i="9"/>
  <c r="N42" i="9"/>
  <c r="N44" i="21"/>
  <c r="N50" i="21"/>
  <c r="N32" i="21"/>
  <c r="N49" i="20"/>
  <c r="N48" i="22"/>
  <c r="M32" i="29"/>
  <c r="N16" i="19"/>
  <c r="M51" i="27"/>
  <c r="M22" i="25"/>
  <c r="N18" i="9"/>
  <c r="N16" i="9"/>
  <c r="N39" i="21"/>
  <c r="N42" i="21"/>
  <c r="N37" i="20"/>
  <c r="M47" i="28"/>
  <c r="M30" i="29"/>
  <c r="M37" i="26"/>
  <c r="M40" i="26"/>
  <c r="M38" i="26"/>
  <c r="M22" i="26"/>
  <c r="M52" i="24"/>
  <c r="M34" i="24"/>
  <c r="M50" i="27"/>
  <c r="M29" i="27"/>
  <c r="M52" i="27"/>
  <c r="M54" i="25"/>
  <c r="M44" i="25"/>
  <c r="N19" i="9"/>
  <c r="N28" i="21"/>
  <c r="N28" i="20"/>
  <c r="N39" i="20"/>
  <c r="N27" i="20"/>
  <c r="N47" i="23"/>
  <c r="N17" i="23"/>
  <c r="N23" i="23"/>
  <c r="N36" i="22"/>
  <c r="N16" i="22"/>
  <c r="N15" i="22"/>
  <c r="M18" i="28"/>
  <c r="M16" i="28"/>
  <c r="M20" i="28"/>
  <c r="M45" i="28"/>
  <c r="M47" i="29"/>
  <c r="M54" i="29"/>
  <c r="M48" i="29"/>
  <c r="N38" i="19"/>
  <c r="N25" i="19"/>
  <c r="N44" i="19"/>
  <c r="N20" i="19"/>
  <c r="M39" i="26"/>
  <c r="M49" i="26"/>
  <c r="M28" i="26"/>
  <c r="M51" i="24"/>
  <c r="M39" i="24"/>
  <c r="M42" i="24"/>
  <c r="M41" i="24"/>
  <c r="M39" i="27"/>
  <c r="M40" i="27"/>
  <c r="M38" i="27"/>
  <c r="M18" i="25"/>
  <c r="M48" i="25"/>
  <c r="M25" i="25"/>
  <c r="N36" i="9"/>
  <c r="N30" i="9"/>
  <c r="N26" i="9"/>
  <c r="N23" i="21"/>
  <c r="N46" i="21"/>
  <c r="N25" i="21"/>
  <c r="N31" i="20"/>
  <c r="N34" i="23"/>
  <c r="M50" i="28"/>
  <c r="N20" i="20"/>
  <c r="N36" i="23"/>
  <c r="N49" i="22"/>
  <c r="M39" i="28"/>
  <c r="M48" i="28"/>
  <c r="M27" i="28"/>
  <c r="N18" i="19"/>
  <c r="M33" i="26"/>
  <c r="M40" i="24"/>
  <c r="M50" i="24"/>
  <c r="M53" i="27"/>
  <c r="M19" i="27"/>
  <c r="M38" i="25"/>
  <c r="M15" i="25"/>
  <c r="M36" i="25"/>
  <c r="M34" i="25"/>
  <c r="N37" i="9"/>
  <c r="N28" i="9"/>
  <c r="N22" i="9"/>
  <c r="N48" i="21"/>
  <c r="N40" i="21"/>
  <c r="N15" i="21"/>
  <c r="N51" i="21"/>
  <c r="M25" i="29"/>
  <c r="N26" i="20"/>
  <c r="N30" i="21"/>
  <c r="N19" i="20"/>
  <c r="N18" i="20"/>
  <c r="N29" i="23"/>
  <c r="N25" i="20"/>
  <c r="N42" i="23"/>
  <c r="M31" i="26"/>
  <c r="M42" i="27"/>
  <c r="N51" i="20"/>
  <c r="N23" i="20"/>
  <c r="N29" i="20"/>
  <c r="N50" i="23"/>
  <c r="N48" i="23"/>
  <c r="N44" i="23"/>
  <c r="N16" i="23"/>
  <c r="N40" i="22"/>
  <c r="N17" i="22"/>
  <c r="N47" i="22"/>
  <c r="M15" i="28"/>
  <c r="M30" i="28"/>
  <c r="M41" i="28"/>
  <c r="M49" i="28"/>
  <c r="M44" i="29"/>
  <c r="M53" i="29"/>
  <c r="N31" i="19"/>
  <c r="N37" i="19"/>
  <c r="N53" i="19"/>
  <c r="N41" i="19"/>
  <c r="M35" i="26"/>
  <c r="M42" i="26"/>
  <c r="M50" i="26"/>
  <c r="M46" i="24"/>
  <c r="M45" i="24"/>
  <c r="M53" i="24"/>
  <c r="M22" i="24"/>
  <c r="M21" i="27"/>
  <c r="M34" i="27"/>
  <c r="M41" i="27"/>
  <c r="M27" i="25"/>
  <c r="M47" i="25"/>
  <c r="M51" i="25"/>
  <c r="M24" i="25"/>
  <c r="N53" i="9"/>
  <c r="N54" i="9"/>
  <c r="N52" i="9"/>
  <c r="N22" i="21"/>
  <c r="N47" i="21"/>
  <c r="N19" i="21"/>
  <c r="N22" i="20"/>
  <c r="N48" i="20"/>
  <c r="N33" i="20"/>
  <c r="N51" i="23"/>
  <c r="N33" i="23"/>
  <c r="N22" i="23"/>
  <c r="N35" i="23"/>
  <c r="N53" i="22"/>
  <c r="N46" i="22"/>
  <c r="N44" i="22"/>
  <c r="M22" i="28"/>
  <c r="M44" i="28"/>
  <c r="M43" i="28"/>
  <c r="M36" i="28"/>
  <c r="M35" i="29"/>
  <c r="M29" i="29"/>
  <c r="M22" i="29"/>
  <c r="N34" i="19"/>
  <c r="N52" i="19"/>
  <c r="N32" i="19"/>
  <c r="N35" i="19"/>
  <c r="M21" i="26"/>
  <c r="M23" i="26"/>
  <c r="M34" i="26"/>
  <c r="M19" i="24"/>
  <c r="M35" i="24"/>
  <c r="M30" i="24"/>
  <c r="M28" i="24"/>
  <c r="M49" i="27"/>
  <c r="M24" i="27"/>
  <c r="M37" i="27"/>
  <c r="M46" i="25"/>
  <c r="M37" i="25"/>
  <c r="M53" i="25"/>
  <c r="M45" i="25"/>
  <c r="N39" i="9"/>
  <c r="N35" i="9"/>
  <c r="N29" i="9"/>
  <c r="N53" i="21"/>
  <c r="N52" i="21"/>
  <c r="N35" i="21"/>
  <c r="M40" i="28"/>
  <c r="N45" i="23"/>
  <c r="M27" i="29"/>
  <c r="N49" i="19"/>
  <c r="M25" i="24"/>
  <c r="N43" i="23"/>
  <c r="M52" i="28"/>
  <c r="N54" i="19"/>
  <c r="M53" i="26"/>
  <c r="M44" i="24"/>
  <c r="M46" i="27"/>
  <c r="M43" i="25"/>
  <c r="M23" i="25"/>
  <c r="M52" i="25"/>
  <c r="N27" i="9"/>
  <c r="N15" i="9"/>
  <c r="N47" i="9"/>
  <c r="N29" i="21"/>
  <c r="N45" i="21"/>
  <c r="N26" i="21"/>
  <c r="N31" i="21"/>
  <c r="N26" i="23"/>
  <c r="N50" i="22"/>
  <c r="N25" i="22"/>
  <c r="N28" i="22"/>
  <c r="M19" i="28"/>
  <c r="M39" i="29"/>
  <c r="N23" i="19"/>
  <c r="N36" i="20"/>
  <c r="N45" i="19"/>
  <c r="M20" i="24"/>
  <c r="O11" i="24"/>
  <c r="N12" i="24"/>
  <c r="P11" i="22"/>
  <c r="O12" i="22"/>
  <c r="N12" i="28"/>
  <c r="O11" i="28"/>
  <c r="O12" i="23"/>
  <c r="P11" i="23"/>
  <c r="O11" i="27"/>
  <c r="N12" i="27"/>
  <c r="P11" i="9"/>
  <c r="O12" i="9"/>
  <c r="N12" i="26"/>
  <c r="O11" i="26"/>
  <c r="O11" i="29"/>
  <c r="N12" i="29"/>
  <c r="P11" i="19"/>
  <c r="O12" i="19"/>
  <c r="O11" i="25"/>
  <c r="N12" i="25"/>
  <c r="O12" i="21"/>
  <c r="P11" i="21"/>
  <c r="O12" i="20"/>
  <c r="P11" i="20"/>
  <c r="N52" i="24" a="1"/>
  <c r="N19" i="24" a="1"/>
  <c r="O36" i="22" a="1"/>
  <c r="O37" i="22" a="1"/>
  <c r="O43" i="22" a="1"/>
  <c r="N39" i="28" a="1"/>
  <c r="N40" i="28" a="1"/>
  <c r="N42" i="28" a="1"/>
  <c r="O35" i="23" a="1"/>
  <c r="O48" i="23" a="1"/>
  <c r="N15" i="27" a="1"/>
  <c r="O40" i="19" a="1"/>
  <c r="N54" i="25" a="1"/>
  <c r="O20" i="21" a="1"/>
  <c r="O40" i="20" a="1"/>
  <c r="O33" i="21" a="1"/>
  <c r="O27" i="20" a="1"/>
  <c r="N34" i="24" a="1"/>
  <c r="N47" i="24" a="1"/>
  <c r="N50" i="24" a="1"/>
  <c r="N43" i="24" a="1"/>
  <c r="O25" i="22" a="1"/>
  <c r="O16" i="22" a="1"/>
  <c r="O30" i="22" a="1"/>
  <c r="N27" i="28" a="1"/>
  <c r="N31" i="28" a="1"/>
  <c r="N41" i="28" a="1"/>
  <c r="N54" i="28" a="1"/>
  <c r="O27" i="23" a="1"/>
  <c r="O43" i="23" a="1"/>
  <c r="O16" i="23" a="1"/>
  <c r="N49" i="27" a="1"/>
  <c r="N46" i="27" a="1"/>
  <c r="N24" i="27" a="1"/>
  <c r="N53" i="27" a="1"/>
  <c r="O51" i="9" a="1"/>
  <c r="O28" i="9" a="1"/>
  <c r="O30" i="9" a="1"/>
  <c r="N22" i="26" a="1"/>
  <c r="N54" i="26" a="1"/>
  <c r="N18" i="26" a="1"/>
  <c r="N15" i="26" a="1"/>
  <c r="N46" i="29" a="1"/>
  <c r="N21" i="29" a="1"/>
  <c r="N35" i="29" a="1"/>
  <c r="O49" i="19" a="1"/>
  <c r="O39" i="19" a="1"/>
  <c r="O31" i="19" a="1"/>
  <c r="O23" i="19" a="1"/>
  <c r="N23" i="25" a="1"/>
  <c r="N40" i="25" a="1"/>
  <c r="N31" i="25" a="1"/>
  <c r="O50" i="21" a="1"/>
  <c r="O53" i="21" a="1"/>
  <c r="O40" i="21" a="1"/>
  <c r="O45" i="21" a="1"/>
  <c r="O36" i="20" a="1"/>
  <c r="O34" i="20" a="1"/>
  <c r="O29" i="20" a="1"/>
  <c r="N35" i="24" a="1"/>
  <c r="N24" i="24" a="1"/>
  <c r="N38" i="24" a="1"/>
  <c r="N33" i="24" a="1"/>
  <c r="O53" i="22" a="1"/>
  <c r="O41" i="22" a="1"/>
  <c r="O40" i="22" a="1"/>
  <c r="N32" i="28" a="1"/>
  <c r="N43" i="28" a="1"/>
  <c r="N19" i="28" a="1"/>
  <c r="N28" i="28" a="1"/>
  <c r="O53" i="23" a="1"/>
  <c r="O36" i="23" a="1"/>
  <c r="O20" i="23" a="1"/>
  <c r="N35" i="27" a="1"/>
  <c r="N21" i="27" a="1"/>
  <c r="N41" i="27" a="1"/>
  <c r="N39" i="27" a="1"/>
  <c r="O18" i="9" a="1"/>
  <c r="O27" i="9" a="1"/>
  <c r="N52" i="26" a="1"/>
  <c r="N29" i="26" a="1"/>
  <c r="N39" i="26" a="1"/>
  <c r="N43" i="26" a="1"/>
  <c r="N41" i="29" a="1"/>
  <c r="N45" i="29" a="1"/>
  <c r="N51" i="29" a="1"/>
  <c r="O47" i="19" a="1"/>
  <c r="O51" i="19" a="1"/>
  <c r="O18" i="19" a="1"/>
  <c r="O44" i="19" a="1"/>
  <c r="N19" i="25" a="1"/>
  <c r="N16" i="25" a="1"/>
  <c r="O37" i="21" a="1"/>
  <c r="O19" i="20" a="1"/>
  <c r="O42" i="23" a="1"/>
  <c r="O24" i="9" a="1"/>
  <c r="N41" i="26" a="1"/>
  <c r="N29" i="25" a="1"/>
  <c r="O54" i="20" a="1"/>
  <c r="O16" i="19" a="1"/>
  <c r="N46" i="24" a="1"/>
  <c r="N51" i="24" a="1"/>
  <c r="N25" i="24" a="1"/>
  <c r="N37" i="24" a="1"/>
  <c r="O51" i="22" a="1"/>
  <c r="O39" i="22" a="1"/>
  <c r="O47" i="22" a="1"/>
  <c r="N38" i="28" a="1"/>
  <c r="O19" i="23" a="1"/>
  <c r="N40" i="27" a="1"/>
  <c r="N37" i="26" a="1"/>
  <c r="N38" i="29" a="1"/>
  <c r="N33" i="25" a="1"/>
  <c r="N27" i="25" a="1"/>
  <c r="O38" i="21" a="1"/>
  <c r="O52" i="20" a="1"/>
  <c r="N21" i="24" a="1"/>
  <c r="N39" i="24" a="1"/>
  <c r="N36" i="24" a="1"/>
  <c r="N27" i="24" a="1"/>
  <c r="O33" i="22" a="1"/>
  <c r="O21" i="22" a="1"/>
  <c r="O15" i="22" a="1"/>
  <c r="N47" i="28" a="1"/>
  <c r="N33" i="28" a="1"/>
  <c r="N52" i="28" a="1"/>
  <c r="N26" i="28" a="1"/>
  <c r="O44" i="23" a="1"/>
  <c r="O18" i="23" a="1"/>
  <c r="N54" i="27" a="1"/>
  <c r="N37" i="27" a="1"/>
  <c r="N31" i="27" a="1"/>
  <c r="N45" i="27" a="1"/>
  <c r="O39" i="9" a="1"/>
  <c r="O43" i="9" a="1"/>
  <c r="O22" i="9" a="1"/>
  <c r="N16" i="26" a="1"/>
  <c r="N17" i="26" a="1"/>
  <c r="N48" i="26" a="1"/>
  <c r="N51" i="26" a="1"/>
  <c r="N26" i="29" a="1"/>
  <c r="N17" i="29" a="1"/>
  <c r="O52" i="19" a="1"/>
  <c r="O26" i="19" a="1"/>
  <c r="O41" i="19" a="1"/>
  <c r="O19" i="19" a="1"/>
  <c r="N49" i="25" a="1"/>
  <c r="N46" i="25" a="1"/>
  <c r="N21" i="25" a="1"/>
  <c r="O52" i="21" a="1"/>
  <c r="O29" i="21" a="1"/>
  <c r="O39" i="21" a="1"/>
  <c r="O33" i="20" a="1"/>
  <c r="O39" i="20" a="1"/>
  <c r="O16" i="20" a="1"/>
  <c r="N30" i="24" a="1"/>
  <c r="N44" i="24" a="1"/>
  <c r="N16" i="24" a="1"/>
  <c r="O20" i="22" a="1"/>
  <c r="O49" i="22" a="1"/>
  <c r="O24" i="22" a="1"/>
  <c r="O38" i="22" a="1"/>
  <c r="N51" i="28" a="1"/>
  <c r="N44" i="28" a="1"/>
  <c r="O52" i="23" a="1"/>
  <c r="O32" i="23" a="1"/>
  <c r="O24" i="23" a="1"/>
  <c r="O41" i="23" a="1"/>
  <c r="N43" i="27" a="1"/>
  <c r="N25" i="27" a="1"/>
  <c r="O15" i="9" a="1"/>
  <c r="O45" i="9" a="1"/>
  <c r="O23" i="9" a="1"/>
  <c r="O54" i="9" a="1"/>
  <c r="N33" i="26" a="1"/>
  <c r="N38" i="26" a="1"/>
  <c r="N23" i="26" a="1"/>
  <c r="N39" i="29" a="1"/>
  <c r="N22" i="29" a="1"/>
  <c r="O25" i="19" a="1"/>
  <c r="N53" i="25" a="1"/>
  <c r="O46" i="21" a="1"/>
  <c r="N15" i="24" a="1"/>
  <c r="N42" i="24" a="1"/>
  <c r="N41" i="24" a="1"/>
  <c r="O23" i="22" a="1"/>
  <c r="O26" i="22" a="1"/>
  <c r="N29" i="28" a="1"/>
  <c r="N53" i="28" a="1"/>
  <c r="N21" i="28" a="1"/>
  <c r="O37" i="23" a="1"/>
  <c r="O15" i="23" a="1"/>
  <c r="O30" i="23" a="1"/>
  <c r="O26" i="23" a="1"/>
  <c r="N22" i="27" a="1"/>
  <c r="N27" i="27" a="1"/>
  <c r="N18" i="27" a="1"/>
  <c r="O29" i="9" a="1"/>
  <c r="O32" i="9" a="1"/>
  <c r="O36" i="9" a="1"/>
  <c r="N32" i="26" a="1"/>
  <c r="N44" i="26" a="1"/>
  <c r="N16" i="29" a="1"/>
  <c r="N19" i="29" a="1"/>
  <c r="N18" i="29" a="1"/>
  <c r="N32" i="29" a="1"/>
  <c r="O43" i="19" a="1"/>
  <c r="O29" i="19" a="1"/>
  <c r="N52" i="25" a="1"/>
  <c r="N47" i="25" a="1"/>
  <c r="N48" i="25" a="1"/>
  <c r="N39" i="25" a="1"/>
  <c r="O16" i="21" a="1"/>
  <c r="O18" i="21" a="1"/>
  <c r="O22" i="21" a="1"/>
  <c r="O18" i="20" a="1"/>
  <c r="O28" i="20" a="1"/>
  <c r="O15" i="20" a="1"/>
  <c r="O23" i="20" a="1"/>
  <c r="O52" i="22" a="1"/>
  <c r="N30" i="28" a="1"/>
  <c r="O40" i="23" a="1"/>
  <c r="O46" i="23" a="1"/>
  <c r="O50" i="23" a="1"/>
  <c r="O22" i="23" a="1"/>
  <c r="N28" i="27" a="1"/>
  <c r="N48" i="27" a="1"/>
  <c r="N36" i="27" a="1"/>
  <c r="O19" i="9" a="1"/>
  <c r="O20" i="9" a="1"/>
  <c r="O52" i="9" a="1"/>
  <c r="N46" i="26" a="1"/>
  <c r="N49" i="26" a="1"/>
  <c r="N43" i="29" a="1"/>
  <c r="N27" i="29" a="1"/>
  <c r="N33" i="29" a="1"/>
  <c r="N28" i="29" a="1"/>
  <c r="O36" i="19" a="1"/>
  <c r="O42" i="19" a="1"/>
  <c r="O54" i="19" a="1"/>
  <c r="N15" i="25" a="1"/>
  <c r="N20" i="25" a="1"/>
  <c r="N30" i="25" a="1"/>
  <c r="O44" i="21" a="1"/>
  <c r="O26" i="21" a="1"/>
  <c r="O51" i="20" a="1"/>
  <c r="O17" i="20" a="1"/>
  <c r="O47" i="20" a="1"/>
  <c r="O53" i="19" a="1"/>
  <c r="O26" i="20" a="1"/>
  <c r="N53" i="24" a="1"/>
  <c r="N20" i="24" a="1"/>
  <c r="O35" i="22" a="1"/>
  <c r="O44" i="22" a="1"/>
  <c r="O32" i="22" a="1"/>
  <c r="O22" i="22" a="1"/>
  <c r="N49" i="28" a="1"/>
  <c r="N22" i="28" a="1"/>
  <c r="N48" i="28" a="1"/>
  <c r="O39" i="23" a="1"/>
  <c r="O47" i="23" a="1"/>
  <c r="O45" i="23" a="1"/>
  <c r="O33" i="23" a="1"/>
  <c r="N44" i="27" a="1"/>
  <c r="N19" i="27" a="1"/>
  <c r="N51" i="27" a="1"/>
  <c r="O31" i="9" a="1"/>
  <c r="O17" i="9" a="1"/>
  <c r="O16" i="9" a="1"/>
  <c r="O40" i="9" a="1"/>
  <c r="N19" i="26" a="1"/>
  <c r="N50" i="26" a="1"/>
  <c r="N45" i="26" a="1"/>
  <c r="N50" i="29" a="1"/>
  <c r="N40" i="29" a="1"/>
  <c r="N29" i="29" a="1"/>
  <c r="N34" i="29" a="1"/>
  <c r="O17" i="19" a="1"/>
  <c r="O21" i="19" a="1"/>
  <c r="O33" i="19" a="1"/>
  <c r="N26" i="25" a="1"/>
  <c r="N50" i="25" a="1"/>
  <c r="N25" i="25" a="1"/>
  <c r="O15" i="21" a="1"/>
  <c r="O36" i="21" a="1"/>
  <c r="O30" i="21" a="1"/>
  <c r="O35" i="20" a="1"/>
  <c r="O30" i="20" a="1"/>
  <c r="O48" i="20" a="1"/>
  <c r="O42" i="20" a="1"/>
  <c r="N54" i="24" a="1"/>
  <c r="O49" i="20" a="1"/>
  <c r="N17" i="24" a="1"/>
  <c r="N31" i="24" a="1"/>
  <c r="N40" i="24" a="1"/>
  <c r="O29" i="22" a="1"/>
  <c r="O34" i="22" a="1"/>
  <c r="N37" i="28" a="1"/>
  <c r="N15" i="28" a="1"/>
  <c r="N23" i="28" a="1"/>
  <c r="O29" i="23" a="1"/>
  <c r="N16" i="27" a="1"/>
  <c r="O26" i="9" a="1"/>
  <c r="O41" i="9" a="1"/>
  <c r="N26" i="26" a="1"/>
  <c r="N25" i="29" a="1"/>
  <c r="O38" i="19" a="1"/>
  <c r="N43" i="25" a="1"/>
  <c r="N51" i="25" a="1"/>
  <c r="O32" i="21" a="1"/>
  <c r="O35" i="21" a="1"/>
  <c r="O43" i="20" a="1"/>
  <c r="N17" i="25" a="1"/>
  <c r="O28" i="21" a="1"/>
  <c r="O44" i="20" a="1"/>
  <c r="N34" i="28" a="1"/>
  <c r="O54" i="21" a="1"/>
  <c r="O30" i="19" a="1"/>
  <c r="N34" i="25" a="1"/>
  <c r="N32" i="24" a="1"/>
  <c r="N26" i="24" a="1"/>
  <c r="O19" i="22" a="1"/>
  <c r="O46" i="22" a="1"/>
  <c r="O50" i="22" a="1"/>
  <c r="N35" i="28" a="1"/>
  <c r="O53" i="9" a="1"/>
  <c r="N25" i="26" a="1"/>
  <c r="N35" i="25" a="1"/>
  <c r="O25" i="21" a="1"/>
  <c r="N32" i="25" a="1"/>
  <c r="N18" i="28" a="1"/>
  <c r="O51" i="23" a="1"/>
  <c r="O23" i="23" a="1"/>
  <c r="N42" i="27" a="1"/>
  <c r="N29" i="27" a="1"/>
  <c r="O42" i="9" a="1"/>
  <c r="N36" i="26" a="1"/>
  <c r="N20" i="26" a="1"/>
  <c r="N48" i="29" a="1"/>
  <c r="O32" i="19" a="1"/>
  <c r="O28" i="19" a="1"/>
  <c r="N42" i="25" a="1"/>
  <c r="O27" i="21" a="1"/>
  <c r="O53" i="20" a="1"/>
  <c r="O24" i="21" a="1"/>
  <c r="O17" i="21" a="1"/>
  <c r="O46" i="20" a="1"/>
  <c r="N46" i="28" a="1"/>
  <c r="N52" i="27" a="1"/>
  <c r="N26" i="27" a="1"/>
  <c r="O38" i="9" a="1"/>
  <c r="N35" i="26" a="1"/>
  <c r="N24" i="29" a="1"/>
  <c r="O35" i="19" a="1"/>
  <c r="O19" i="21" a="1"/>
  <c r="O32" i="20" a="1"/>
  <c r="N29" i="24" a="1"/>
  <c r="N28" i="24" a="1"/>
  <c r="N18" i="24" a="1"/>
  <c r="O48" i="22" a="1"/>
  <c r="O18" i="22" a="1"/>
  <c r="O42" i="22" a="1"/>
  <c r="O27" i="22" a="1"/>
  <c r="N16" i="28" a="1"/>
  <c r="N50" i="28" a="1"/>
  <c r="N45" i="28" a="1"/>
  <c r="O31" i="23" a="1"/>
  <c r="O17" i="23" a="1"/>
  <c r="O25" i="23" a="1"/>
  <c r="O21" i="23" a="1"/>
  <c r="N20" i="27" a="1"/>
  <c r="N17" i="27" a="1"/>
  <c r="N33" i="27" a="1"/>
  <c r="O48" i="9" a="1"/>
  <c r="O46" i="9" a="1"/>
  <c r="O33" i="9" a="1"/>
  <c r="O44" i="9" a="1"/>
  <c r="N21" i="26" a="1"/>
  <c r="N30" i="26" a="1"/>
  <c r="N47" i="26" a="1"/>
  <c r="N30" i="29" a="1"/>
  <c r="N36" i="29" a="1"/>
  <c r="N23" i="29" a="1"/>
  <c r="N20" i="29" a="1"/>
  <c r="O15" i="19" a="1"/>
  <c r="O27" i="19" a="1"/>
  <c r="O50" i="19" a="1"/>
  <c r="N22" i="25" a="1"/>
  <c r="N37" i="25" a="1"/>
  <c r="N24" i="25" a="1"/>
  <c r="N41" i="25" a="1"/>
  <c r="O47" i="21" a="1"/>
  <c r="O51" i="21" a="1"/>
  <c r="O49" i="21" a="1"/>
  <c r="O50" i="20" a="1"/>
  <c r="O31" i="20" a="1"/>
  <c r="O21" i="20" a="1"/>
  <c r="N45" i="24" a="1"/>
  <c r="N20" i="28" a="1"/>
  <c r="O28" i="23" a="1"/>
  <c r="N34" i="27" a="1"/>
  <c r="N23" i="27" a="1"/>
  <c r="O50" i="9" a="1"/>
  <c r="N34" i="26" a="1"/>
  <c r="N52" i="29" a="1"/>
  <c r="O24" i="19" a="1"/>
  <c r="N18" i="25" a="1"/>
  <c r="O43" i="21" a="1"/>
  <c r="O48" i="21" a="1"/>
  <c r="O34" i="21" a="1"/>
  <c r="O41" i="20" a="1"/>
  <c r="N23" i="24" a="1"/>
  <c r="N22" i="24" a="1"/>
  <c r="N48" i="24" a="1"/>
  <c r="O45" i="22" a="1"/>
  <c r="O28" i="22" a="1"/>
  <c r="O54" i="22" a="1"/>
  <c r="O17" i="22" a="1"/>
  <c r="N17" i="28" a="1"/>
  <c r="N25" i="28" a="1"/>
  <c r="N24" i="28" a="1"/>
  <c r="O38" i="23" a="1"/>
  <c r="O49" i="23" a="1"/>
  <c r="O34" i="23" a="1"/>
  <c r="O54" i="23" a="1"/>
  <c r="N32" i="27" a="1"/>
  <c r="N47" i="27" a="1"/>
  <c r="O37" i="9" a="1"/>
  <c r="O49" i="9" a="1"/>
  <c r="O25" i="9" a="1"/>
  <c r="O35" i="9" a="1"/>
  <c r="N28" i="26" a="1"/>
  <c r="N24" i="26" a="1"/>
  <c r="N40" i="26" a="1"/>
  <c r="N15" i="29" a="1"/>
  <c r="N47" i="29" a="1"/>
  <c r="N54" i="29" a="1"/>
  <c r="N37" i="29" a="1"/>
  <c r="O48" i="19" a="1"/>
  <c r="O46" i="19" a="1"/>
  <c r="O22" i="19" a="1"/>
  <c r="N36" i="25" a="1"/>
  <c r="N44" i="25" a="1"/>
  <c r="N28" i="25" a="1"/>
  <c r="O23" i="21" a="1"/>
  <c r="O31" i="21" a="1"/>
  <c r="O42" i="21" a="1"/>
  <c r="O45" i="20" a="1"/>
  <c r="O37" i="20" a="1"/>
  <c r="O20" i="20" a="1"/>
  <c r="O22" i="20" a="1"/>
  <c r="N30" i="27" a="1"/>
  <c r="O47" i="9" a="1"/>
  <c r="O21" i="9" a="1"/>
  <c r="N42" i="26" a="1"/>
  <c r="N27" i="26" a="1"/>
  <c r="N42" i="29" a="1"/>
  <c r="N31" i="29" a="1"/>
  <c r="O37" i="19" a="1"/>
  <c r="N49" i="24" a="1"/>
  <c r="O31" i="22" a="1"/>
  <c r="N50" i="27" a="1"/>
  <c r="N31" i="26" a="1"/>
  <c r="N49" i="29" a="1"/>
  <c r="O45" i="19" a="1"/>
  <c r="O21" i="21" a="1"/>
  <c r="O25" i="20" a="1"/>
  <c r="N36" i="28" a="1"/>
  <c r="N38" i="27" a="1"/>
  <c r="O34" i="9" a="1"/>
  <c r="N53" i="26" a="1"/>
  <c r="N44" i="29" a="1"/>
  <c r="O20" i="19" a="1"/>
  <c r="O34" i="19" a="1"/>
  <c r="N45" i="25" a="1"/>
  <c r="O41" i="21" a="1"/>
  <c r="O38" i="20" a="1"/>
  <c r="O24" i="20" a="1"/>
  <c r="N53" i="29" a="1"/>
  <c r="N38" i="25" a="1"/>
  <c r="N38" i="25" l="1"/>
  <c r="N53" i="29"/>
  <c r="O24" i="20"/>
  <c r="O38" i="20"/>
  <c r="O41" i="21"/>
  <c r="N45" i="25"/>
  <c r="O34" i="19"/>
  <c r="O20" i="19"/>
  <c r="N44" i="29"/>
  <c r="N53" i="26"/>
  <c r="O34" i="9"/>
  <c r="N38" i="27"/>
  <c r="N36" i="28"/>
  <c r="O25" i="20"/>
  <c r="O21" i="21"/>
  <c r="O45" i="19"/>
  <c r="N49" i="29"/>
  <c r="N31" i="26"/>
  <c r="N50" i="27"/>
  <c r="O31" i="22"/>
  <c r="N49" i="24"/>
  <c r="O37" i="19"/>
  <c r="N31" i="29"/>
  <c r="N42" i="29"/>
  <c r="N27" i="26"/>
  <c r="N42" i="26"/>
  <c r="O21" i="9"/>
  <c r="O47" i="9"/>
  <c r="N30" i="27"/>
  <c r="O22" i="20"/>
  <c r="O20" i="20"/>
  <c r="O37" i="20"/>
  <c r="O45" i="20"/>
  <c r="O42" i="21"/>
  <c r="O31" i="21"/>
  <c r="O23" i="21"/>
  <c r="N28" i="25"/>
  <c r="N44" i="25"/>
  <c r="N36" i="25"/>
  <c r="O22" i="19"/>
  <c r="O46" i="19"/>
  <c r="O48" i="19"/>
  <c r="N37" i="29"/>
  <c r="N54" i="29"/>
  <c r="N47" i="29"/>
  <c r="N15" i="29"/>
  <c r="N40" i="26"/>
  <c r="N24" i="26"/>
  <c r="N28" i="26"/>
  <c r="O35" i="9"/>
  <c r="O25" i="9"/>
  <c r="O49" i="9"/>
  <c r="O37" i="9"/>
  <c r="N47" i="27"/>
  <c r="N32" i="27"/>
  <c r="O54" i="23"/>
  <c r="O34" i="23"/>
  <c r="O49" i="23"/>
  <c r="O38" i="23"/>
  <c r="N24" i="28"/>
  <c r="N25" i="28"/>
  <c r="N17" i="28"/>
  <c r="O17" i="22"/>
  <c r="O54" i="22"/>
  <c r="O28" i="22"/>
  <c r="O45" i="22"/>
  <c r="N48" i="24"/>
  <c r="N22" i="24"/>
  <c r="N23" i="24"/>
  <c r="O41" i="20"/>
  <c r="O34" i="21"/>
  <c r="O48" i="21"/>
  <c r="O43" i="21"/>
  <c r="N18" i="25"/>
  <c r="O24" i="19"/>
  <c r="N52" i="29"/>
  <c r="N34" i="26"/>
  <c r="O50" i="9"/>
  <c r="N23" i="27"/>
  <c r="N34" i="27"/>
  <c r="O28" i="23"/>
  <c r="N20" i="28"/>
  <c r="N45" i="24"/>
  <c r="O21" i="20"/>
  <c r="O31" i="20"/>
  <c r="O50" i="20"/>
  <c r="O49" i="21"/>
  <c r="O51" i="21"/>
  <c r="O47" i="21"/>
  <c r="N41" i="25"/>
  <c r="N24" i="25"/>
  <c r="N37" i="25"/>
  <c r="N22" i="25"/>
  <c r="O50" i="19"/>
  <c r="O27" i="19"/>
  <c r="O15" i="19"/>
  <c r="N20" i="29"/>
  <c r="N23" i="29"/>
  <c r="N36" i="29"/>
  <c r="N30" i="29"/>
  <c r="N47" i="26"/>
  <c r="N30" i="26"/>
  <c r="N21" i="26"/>
  <c r="O44" i="9"/>
  <c r="O33" i="9"/>
  <c r="O46" i="9"/>
  <c r="O48" i="9"/>
  <c r="N33" i="27"/>
  <c r="N17" i="27"/>
  <c r="N20" i="27"/>
  <c r="O21" i="23"/>
  <c r="O25" i="23"/>
  <c r="O17" i="23"/>
  <c r="O31" i="23"/>
  <c r="N45" i="28"/>
  <c r="N50" i="28"/>
  <c r="N16" i="28"/>
  <c r="O27" i="22"/>
  <c r="O42" i="22"/>
  <c r="O18" i="22"/>
  <c r="O48" i="22"/>
  <c r="N18" i="24"/>
  <c r="N28" i="24"/>
  <c r="N29" i="24"/>
  <c r="O32" i="20"/>
  <c r="O19" i="21"/>
  <c r="O35" i="19"/>
  <c r="N24" i="29"/>
  <c r="N35" i="26"/>
  <c r="O38" i="9"/>
  <c r="N26" i="27"/>
  <c r="N52" i="27"/>
  <c r="N46" i="28"/>
  <c r="O46" i="20"/>
  <c r="O17" i="21"/>
  <c r="O24" i="21"/>
  <c r="O53" i="20"/>
  <c r="O27" i="21"/>
  <c r="N42" i="25"/>
  <c r="O28" i="19"/>
  <c r="O32" i="19"/>
  <c r="N48" i="29"/>
  <c r="N20" i="26"/>
  <c r="N36" i="26"/>
  <c r="O42" i="9"/>
  <c r="N29" i="27"/>
  <c r="N42" i="27"/>
  <c r="O23" i="23"/>
  <c r="O51" i="23"/>
  <c r="N18" i="28"/>
  <c r="N32" i="25"/>
  <c r="O25" i="21"/>
  <c r="N35" i="25"/>
  <c r="N25" i="26"/>
  <c r="O53" i="9"/>
  <c r="N35" i="28"/>
  <c r="O50" i="22"/>
  <c r="O46" i="22"/>
  <c r="O19" i="22"/>
  <c r="N26" i="24"/>
  <c r="N32" i="24"/>
  <c r="N34" i="25"/>
  <c r="O30" i="19"/>
  <c r="O54" i="21"/>
  <c r="N34" i="28"/>
  <c r="O44" i="20"/>
  <c r="O28" i="21"/>
  <c r="N17" i="25"/>
  <c r="O43" i="20"/>
  <c r="O35" i="21"/>
  <c r="O32" i="21"/>
  <c r="N51" i="25"/>
  <c r="N43" i="25"/>
  <c r="O38" i="19"/>
  <c r="N25" i="29"/>
  <c r="N26" i="26"/>
  <c r="O41" i="9"/>
  <c r="O26" i="9"/>
  <c r="N16" i="27"/>
  <c r="O29" i="23"/>
  <c r="N23" i="28"/>
  <c r="N15" i="28"/>
  <c r="N37" i="28"/>
  <c r="O34" i="22"/>
  <c r="O29" i="22"/>
  <c r="N40" i="24"/>
  <c r="N31" i="24"/>
  <c r="N17" i="24"/>
  <c r="O49" i="20"/>
  <c r="N54" i="24"/>
  <c r="O42" i="20"/>
  <c r="O48" i="20"/>
  <c r="O30" i="20"/>
  <c r="O35" i="20"/>
  <c r="O30" i="21"/>
  <c r="O36" i="21"/>
  <c r="O15" i="21"/>
  <c r="N25" i="25"/>
  <c r="N50" i="25"/>
  <c r="N26" i="25"/>
  <c r="O33" i="19"/>
  <c r="O21" i="19"/>
  <c r="O17" i="19"/>
  <c r="N34" i="29"/>
  <c r="N29" i="29"/>
  <c r="N40" i="29"/>
  <c r="N50" i="29"/>
  <c r="N45" i="26"/>
  <c r="N50" i="26"/>
  <c r="N19" i="26"/>
  <c r="O40" i="9"/>
  <c r="O16" i="9"/>
  <c r="O17" i="9"/>
  <c r="O31" i="9"/>
  <c r="N51" i="27"/>
  <c r="N19" i="27"/>
  <c r="N44" i="27"/>
  <c r="O33" i="23"/>
  <c r="O45" i="23"/>
  <c r="O47" i="23"/>
  <c r="O39" i="23"/>
  <c r="N48" i="28"/>
  <c r="N22" i="28"/>
  <c r="N49" i="28"/>
  <c r="O22" i="22"/>
  <c r="O32" i="22"/>
  <c r="O44" i="22"/>
  <c r="O35" i="22"/>
  <c r="N20" i="24"/>
  <c r="N53" i="24"/>
  <c r="O26" i="20"/>
  <c r="O53" i="19"/>
  <c r="O47" i="20"/>
  <c r="O17" i="20"/>
  <c r="O51" i="20"/>
  <c r="O26" i="21"/>
  <c r="O44" i="21"/>
  <c r="N30" i="25"/>
  <c r="N20" i="25"/>
  <c r="N15" i="25"/>
  <c r="O54" i="19"/>
  <c r="O42" i="19"/>
  <c r="O36" i="19"/>
  <c r="N28" i="29"/>
  <c r="N33" i="29"/>
  <c r="N27" i="29"/>
  <c r="N43" i="29"/>
  <c r="N49" i="26"/>
  <c r="N46" i="26"/>
  <c r="O52" i="9"/>
  <c r="O20" i="9"/>
  <c r="O19" i="9"/>
  <c r="N36" i="27"/>
  <c r="N48" i="27"/>
  <c r="N28" i="27"/>
  <c r="O22" i="23"/>
  <c r="O50" i="23"/>
  <c r="O46" i="23"/>
  <c r="O40" i="23"/>
  <c r="N30" i="28"/>
  <c r="O52" i="22"/>
  <c r="O23" i="20"/>
  <c r="O15" i="20"/>
  <c r="O28" i="20"/>
  <c r="O18" i="20"/>
  <c r="O22" i="21"/>
  <c r="O18" i="21"/>
  <c r="O16" i="21"/>
  <c r="N39" i="25"/>
  <c r="N48" i="25"/>
  <c r="N47" i="25"/>
  <c r="N52" i="25"/>
  <c r="O29" i="19"/>
  <c r="O43" i="19"/>
  <c r="N32" i="29"/>
  <c r="N18" i="29"/>
  <c r="N19" i="29"/>
  <c r="N16" i="29"/>
  <c r="N44" i="26"/>
  <c r="N32" i="26"/>
  <c r="O36" i="9"/>
  <c r="O32" i="9"/>
  <c r="O29" i="9"/>
  <c r="N18" i="27"/>
  <c r="N27" i="27"/>
  <c r="N22" i="27"/>
  <c r="O26" i="23"/>
  <c r="O30" i="23"/>
  <c r="O15" i="23"/>
  <c r="O37" i="23"/>
  <c r="N21" i="28"/>
  <c r="N53" i="28"/>
  <c r="N29" i="28"/>
  <c r="O26" i="22"/>
  <c r="O23" i="22"/>
  <c r="N41" i="24"/>
  <c r="N42" i="24"/>
  <c r="N15" i="24"/>
  <c r="O46" i="21"/>
  <c r="N53" i="25"/>
  <c r="O25" i="19"/>
  <c r="N22" i="29"/>
  <c r="N39" i="29"/>
  <c r="N23" i="26"/>
  <c r="N38" i="26"/>
  <c r="N33" i="26"/>
  <c r="O54" i="9"/>
  <c r="O23" i="9"/>
  <c r="O45" i="9"/>
  <c r="O15" i="9"/>
  <c r="N25" i="27"/>
  <c r="N43" i="27"/>
  <c r="O41" i="23"/>
  <c r="O24" i="23"/>
  <c r="O32" i="23"/>
  <c r="O52" i="23"/>
  <c r="N44" i="28"/>
  <c r="N51" i="28"/>
  <c r="O38" i="22"/>
  <c r="O24" i="22"/>
  <c r="O49" i="22"/>
  <c r="O20" i="22"/>
  <c r="N16" i="24"/>
  <c r="N44" i="24"/>
  <c r="N30" i="24"/>
  <c r="O16" i="20"/>
  <c r="O39" i="20"/>
  <c r="O33" i="20"/>
  <c r="O39" i="21"/>
  <c r="O29" i="21"/>
  <c r="O52" i="21"/>
  <c r="N21" i="25"/>
  <c r="N46" i="25"/>
  <c r="N49" i="25"/>
  <c r="O19" i="19"/>
  <c r="O41" i="19"/>
  <c r="O26" i="19"/>
  <c r="O52" i="19"/>
  <c r="N17" i="29"/>
  <c r="N26" i="29"/>
  <c r="N51" i="26"/>
  <c r="N48" i="26"/>
  <c r="N17" i="26"/>
  <c r="N16" i="26"/>
  <c r="O22" i="9"/>
  <c r="O43" i="9"/>
  <c r="O39" i="9"/>
  <c r="N45" i="27"/>
  <c r="N31" i="27"/>
  <c r="N37" i="27"/>
  <c r="N54" i="27"/>
  <c r="O18" i="23"/>
  <c r="O44" i="23"/>
  <c r="N26" i="28"/>
  <c r="N52" i="28"/>
  <c r="N33" i="28"/>
  <c r="N47" i="28"/>
  <c r="O15" i="22"/>
  <c r="O21" i="22"/>
  <c r="O33" i="22"/>
  <c r="N27" i="24"/>
  <c r="N36" i="24"/>
  <c r="N39" i="24"/>
  <c r="N21" i="24"/>
  <c r="O52" i="20"/>
  <c r="O38" i="21"/>
  <c r="N27" i="25"/>
  <c r="N33" i="25"/>
  <c r="N38" i="29"/>
  <c r="N37" i="26"/>
  <c r="N40" i="27"/>
  <c r="O19" i="23"/>
  <c r="N38" i="28"/>
  <c r="O47" i="22"/>
  <c r="O39" i="22"/>
  <c r="O51" i="22"/>
  <c r="N37" i="24"/>
  <c r="N25" i="24"/>
  <c r="N51" i="24"/>
  <c r="N46" i="24"/>
  <c r="O16" i="19"/>
  <c r="O54" i="20"/>
  <c r="N29" i="25"/>
  <c r="N41" i="26"/>
  <c r="O24" i="9"/>
  <c r="O42" i="23"/>
  <c r="O19" i="20"/>
  <c r="O37" i="21"/>
  <c r="N16" i="25"/>
  <c r="N19" i="25"/>
  <c r="O44" i="19"/>
  <c r="O18" i="19"/>
  <c r="O51" i="19"/>
  <c r="O47" i="19"/>
  <c r="N51" i="29"/>
  <c r="N45" i="29"/>
  <c r="N41" i="29"/>
  <c r="N43" i="26"/>
  <c r="N39" i="26"/>
  <c r="N29" i="26"/>
  <c r="N52" i="26"/>
  <c r="O27" i="9"/>
  <c r="O18" i="9"/>
  <c r="N39" i="27"/>
  <c r="N41" i="27"/>
  <c r="N21" i="27"/>
  <c r="N35" i="27"/>
  <c r="O20" i="23"/>
  <c r="O36" i="23"/>
  <c r="O53" i="23"/>
  <c r="N28" i="28"/>
  <c r="N19" i="28"/>
  <c r="N43" i="28"/>
  <c r="N32" i="28"/>
  <c r="O40" i="22"/>
  <c r="O41" i="22"/>
  <c r="O53" i="22"/>
  <c r="N33" i="24"/>
  <c r="N38" i="24"/>
  <c r="N24" i="24"/>
  <c r="N35" i="24"/>
  <c r="O29" i="20"/>
  <c r="O34" i="20"/>
  <c r="O36" i="20"/>
  <c r="O45" i="21"/>
  <c r="O40" i="21"/>
  <c r="O53" i="21"/>
  <c r="O50" i="21"/>
  <c r="N31" i="25"/>
  <c r="N40" i="25"/>
  <c r="N23" i="25"/>
  <c r="O23" i="19"/>
  <c r="O31" i="19"/>
  <c r="O39" i="19"/>
  <c r="O49" i="19"/>
  <c r="N35" i="29"/>
  <c r="N21" i="29"/>
  <c r="N46" i="29"/>
  <c r="N15" i="26"/>
  <c r="N18" i="26"/>
  <c r="N54" i="26"/>
  <c r="N22" i="26"/>
  <c r="O30" i="9"/>
  <c r="O28" i="9"/>
  <c r="O51" i="9"/>
  <c r="N53" i="27"/>
  <c r="N24" i="27"/>
  <c r="N46" i="27"/>
  <c r="N49" i="27"/>
  <c r="O16" i="23"/>
  <c r="O43" i="23"/>
  <c r="O27" i="23"/>
  <c r="N54" i="28"/>
  <c r="N41" i="28"/>
  <c r="N31" i="28"/>
  <c r="N27" i="28"/>
  <c r="O30" i="22"/>
  <c r="O16" i="22"/>
  <c r="O25" i="22"/>
  <c r="N43" i="24"/>
  <c r="N50" i="24"/>
  <c r="N47" i="24"/>
  <c r="N34" i="24"/>
  <c r="O27" i="20"/>
  <c r="O33" i="21"/>
  <c r="O40" i="20"/>
  <c r="O20" i="21"/>
  <c r="N54" i="25"/>
  <c r="O40" i="19"/>
  <c r="N15" i="27"/>
  <c r="O48" i="23"/>
  <c r="O35" i="23"/>
  <c r="N42" i="28"/>
  <c r="N40" i="28"/>
  <c r="N39" i="28"/>
  <c r="O43" i="22"/>
  <c r="O37" i="22"/>
  <c r="O36" i="22"/>
  <c r="N19" i="24"/>
  <c r="N52" i="24"/>
  <c r="P11" i="26"/>
  <c r="O12" i="26"/>
  <c r="O12" i="25"/>
  <c r="P11" i="25"/>
  <c r="P12" i="20"/>
  <c r="Q11" i="20"/>
  <c r="Q11" i="23"/>
  <c r="P12" i="23"/>
  <c r="P11" i="28"/>
  <c r="O12" i="28"/>
  <c r="Q11" i="22"/>
  <c r="P12" i="22"/>
  <c r="P11" i="29"/>
  <c r="O12" i="29"/>
  <c r="O12" i="27"/>
  <c r="P11" i="27"/>
  <c r="Q11" i="19"/>
  <c r="P12" i="19"/>
  <c r="P12" i="9"/>
  <c r="Q11" i="9"/>
  <c r="Q11" i="21"/>
  <c r="P12" i="21"/>
  <c r="P11" i="24"/>
  <c r="O12" i="24"/>
  <c r="O34" i="26" a="1"/>
  <c r="O38" i="26" a="1"/>
  <c r="O32" i="26" a="1"/>
  <c r="O53" i="26" a="1"/>
  <c r="O48" i="25" a="1"/>
  <c r="O33" i="25" a="1"/>
  <c r="O52" i="25" a="1"/>
  <c r="P17" i="20" a="1"/>
  <c r="P49" i="20" a="1"/>
  <c r="P47" i="20" a="1"/>
  <c r="P48" i="20" a="1"/>
  <c r="P44" i="23" a="1"/>
  <c r="P23" i="23" a="1"/>
  <c r="P39" i="23" a="1"/>
  <c r="O19" i="28" a="1"/>
  <c r="O46" i="28" a="1"/>
  <c r="O31" i="28" a="1"/>
  <c r="O35" i="28" a="1"/>
  <c r="P36" i="22" a="1"/>
  <c r="P39" i="22" a="1"/>
  <c r="P24" i="22" a="1"/>
  <c r="O28" i="29" a="1"/>
  <c r="O24" i="29" a="1"/>
  <c r="O36" i="29" a="1"/>
  <c r="O37" i="29" a="1"/>
  <c r="O17" i="27" a="1"/>
  <c r="O28" i="27" a="1"/>
  <c r="O44" i="27" a="1"/>
  <c r="P18" i="19" a="1"/>
  <c r="P43" i="19" a="1"/>
  <c r="P44" i="19" a="1"/>
  <c r="P16" i="9" a="1"/>
  <c r="P51" i="9" a="1"/>
  <c r="P46" i="9" a="1"/>
  <c r="P15" i="21" a="1"/>
  <c r="P21" i="21" a="1"/>
  <c r="P22" i="21" a="1"/>
  <c r="P51" i="21" a="1"/>
  <c r="O17" i="24" a="1"/>
  <c r="O36" i="24" a="1"/>
  <c r="O32" i="24" a="1"/>
  <c r="O39" i="26" a="1"/>
  <c r="O54" i="26" a="1"/>
  <c r="O16" i="25" a="1"/>
  <c r="P53" i="22" a="1"/>
  <c r="O50" i="29" a="1"/>
  <c r="P49" i="9" a="1"/>
  <c r="O46" i="26" a="1"/>
  <c r="O20" i="26" a="1"/>
  <c r="O29" i="25" a="1"/>
  <c r="P45" i="20" a="1"/>
  <c r="O18" i="28" a="1"/>
  <c r="O30" i="27" a="1"/>
  <c r="P39" i="9" a="1"/>
  <c r="P40" i="21" a="1"/>
  <c r="O43" i="24" a="1"/>
  <c r="P53" i="21" a="1"/>
  <c r="O37" i="24" a="1"/>
  <c r="O50" i="25" a="1"/>
  <c r="P19" i="20" a="1"/>
  <c r="O27" i="26" a="1"/>
  <c r="P34" i="20" a="1"/>
  <c r="O53" i="28" a="1"/>
  <c r="P29" i="9" a="1"/>
  <c r="O53" i="24" a="1"/>
  <c r="O30" i="26" a="1"/>
  <c r="O43" i="26" a="1"/>
  <c r="O51" i="26" a="1"/>
  <c r="O26" i="26" a="1"/>
  <c r="O15" i="25" a="1"/>
  <c r="O37" i="25" a="1"/>
  <c r="O30" i="25" a="1"/>
  <c r="P23" i="20" a="1"/>
  <c r="P44" i="20" a="1"/>
  <c r="P22" i="20" a="1"/>
  <c r="P43" i="20" a="1"/>
  <c r="P48" i="23" a="1"/>
  <c r="P33" i="23" a="1"/>
  <c r="O17" i="28" a="1"/>
  <c r="O26" i="28" a="1"/>
  <c r="O45" i="28" a="1"/>
  <c r="O30" i="28" a="1"/>
  <c r="P29" i="22" a="1"/>
  <c r="P26" i="22" a="1"/>
  <c r="O45" i="29" a="1"/>
  <c r="O30" i="29" a="1"/>
  <c r="O49" i="29" a="1"/>
  <c r="O16" i="29" a="1"/>
  <c r="O43" i="27" a="1"/>
  <c r="O35" i="27" a="1"/>
  <c r="O33" i="27" a="1"/>
  <c r="P27" i="19" a="1"/>
  <c r="P54" i="19" a="1"/>
  <c r="P49" i="19" a="1"/>
  <c r="P36" i="19" a="1"/>
  <c r="P35" i="9" a="1"/>
  <c r="P34" i="9" a="1"/>
  <c r="P52" i="9" a="1"/>
  <c r="P46" i="21" a="1"/>
  <c r="P41" i="21" a="1"/>
  <c r="P39" i="21" a="1"/>
  <c r="P52" i="21" a="1"/>
  <c r="O46" i="24" a="1"/>
  <c r="O54" i="24" a="1"/>
  <c r="O21" i="24" a="1"/>
  <c r="O36" i="26" a="1"/>
  <c r="O31" i="25" a="1"/>
  <c r="P16" i="20" a="1"/>
  <c r="P41" i="23" a="1"/>
  <c r="O41" i="28" a="1"/>
  <c r="O51" i="27" a="1"/>
  <c r="P23" i="21" a="1"/>
  <c r="O50" i="26" a="1"/>
  <c r="O17" i="26" a="1"/>
  <c r="O40" i="26" a="1"/>
  <c r="O19" i="26" a="1"/>
  <c r="O39" i="25" a="1"/>
  <c r="O20" i="25" a="1"/>
  <c r="O17" i="25" a="1"/>
  <c r="P25" i="20" a="1"/>
  <c r="P54" i="20" a="1"/>
  <c r="P30" i="20" a="1"/>
  <c r="P29" i="20" a="1"/>
  <c r="P27" i="23" a="1"/>
  <c r="P25" i="23" a="1"/>
  <c r="P37" i="23" a="1"/>
  <c r="O39" i="28" a="1"/>
  <c r="O20" i="28" a="1"/>
  <c r="O16" i="28" a="1"/>
  <c r="O36" i="28" a="1"/>
  <c r="P28" i="22" a="1"/>
  <c r="P47" i="22" a="1"/>
  <c r="P19" i="22" a="1"/>
  <c r="O46" i="29" a="1"/>
  <c r="O26" i="29" a="1"/>
  <c r="O15" i="29" a="1"/>
  <c r="O15" i="27" a="1"/>
  <c r="O45" i="27" a="1"/>
  <c r="O52" i="27" a="1"/>
  <c r="P28" i="19" a="1"/>
  <c r="P29" i="19" a="1"/>
  <c r="P19" i="19" a="1"/>
  <c r="P20" i="19" a="1"/>
  <c r="P30" i="9" a="1"/>
  <c r="P37" i="9" a="1"/>
  <c r="P17" i="9" a="1"/>
  <c r="P36" i="21" a="1"/>
  <c r="O16" i="24" a="1"/>
  <c r="O21" i="26" a="1"/>
  <c r="O44" i="25" a="1"/>
  <c r="P50" i="20" a="1"/>
  <c r="P17" i="23" a="1"/>
  <c r="O25" i="29" a="1"/>
  <c r="O23" i="29" a="1"/>
  <c r="O16" i="27" a="1"/>
  <c r="P30" i="19" a="1"/>
  <c r="P31" i="21" a="1"/>
  <c r="P39" i="20" a="1"/>
  <c r="P49" i="23" a="1"/>
  <c r="P33" i="22" a="1"/>
  <c r="O53" i="29" a="1"/>
  <c r="P26" i="19" a="1"/>
  <c r="P42" i="9" a="1"/>
  <c r="P43" i="21" a="1"/>
  <c r="O45" i="26" a="1"/>
  <c r="P41" i="20" a="1"/>
  <c r="O15" i="26" a="1"/>
  <c r="O42" i="28" a="1"/>
  <c r="O18" i="29" a="1"/>
  <c r="P41" i="9" a="1"/>
  <c r="O48" i="24" a="1"/>
  <c r="O31" i="26" a="1"/>
  <c r="O25" i="26" a="1"/>
  <c r="O24" i="26" a="1"/>
  <c r="O18" i="25" a="1"/>
  <c r="O49" i="25" a="1"/>
  <c r="O32" i="25" a="1"/>
  <c r="O22" i="25" a="1"/>
  <c r="P52" i="20" a="1"/>
  <c r="P27" i="20" a="1"/>
  <c r="P46" i="20" a="1"/>
  <c r="P40" i="23" a="1"/>
  <c r="P38" i="23" a="1"/>
  <c r="P24" i="23" a="1"/>
  <c r="P20" i="23" a="1"/>
  <c r="O28" i="28" a="1"/>
  <c r="O54" i="28" a="1"/>
  <c r="P21" i="22" a="1"/>
  <c r="P25" i="22" a="1"/>
  <c r="P44" i="22" a="1"/>
  <c r="P42" i="22" a="1"/>
  <c r="O34" i="29" a="1"/>
  <c r="O54" i="29" a="1"/>
  <c r="O51" i="29" a="1"/>
  <c r="O46" i="27" a="1"/>
  <c r="O19" i="27" a="1"/>
  <c r="O48" i="27" a="1"/>
  <c r="O38" i="27" a="1"/>
  <c r="P34" i="19" a="1"/>
  <c r="P22" i="19" a="1"/>
  <c r="P35" i="19" a="1"/>
  <c r="P28" i="9" a="1"/>
  <c r="P50" i="9" a="1"/>
  <c r="P18" i="9" a="1"/>
  <c r="P30" i="21" a="1"/>
  <c r="P48" i="21" a="1"/>
  <c r="P27" i="21" a="1"/>
  <c r="O22" i="24" a="1"/>
  <c r="O50" i="24" a="1"/>
  <c r="O35" i="24" a="1"/>
  <c r="O51" i="24" a="1"/>
  <c r="O33" i="26" a="1"/>
  <c r="O22" i="26" a="1"/>
  <c r="O36" i="25" a="1"/>
  <c r="O51" i="25" a="1"/>
  <c r="O43" i="25" a="1"/>
  <c r="O46" i="25" a="1"/>
  <c r="P53" i="20" a="1"/>
  <c r="P51" i="20" a="1"/>
  <c r="P21" i="23" a="1"/>
  <c r="P35" i="23" a="1"/>
  <c r="P31" i="23" a="1"/>
  <c r="O29" i="28" a="1"/>
  <c r="O52" i="28" a="1"/>
  <c r="O22" i="28" a="1"/>
  <c r="P18" i="22" a="1"/>
  <c r="P32" i="22" a="1"/>
  <c r="P27" i="22" a="1"/>
  <c r="O41" i="29" a="1"/>
  <c r="O27" i="29" a="1"/>
  <c r="O44" i="29" a="1"/>
  <c r="O27" i="27" a="1"/>
  <c r="O29" i="27" a="1"/>
  <c r="O21" i="27" a="1"/>
  <c r="P40" i="19" a="1"/>
  <c r="P33" i="19" a="1"/>
  <c r="P24" i="19" a="1"/>
  <c r="P47" i="9" a="1"/>
  <c r="P38" i="9" a="1"/>
  <c r="P32" i="9" a="1"/>
  <c r="P35" i="21" a="1"/>
  <c r="P28" i="21" a="1"/>
  <c r="O40" i="24" a="1"/>
  <c r="O31" i="24" a="1"/>
  <c r="O41" i="24" a="1"/>
  <c r="O31" i="27" a="1"/>
  <c r="P53" i="9" a="1"/>
  <c r="O16" i="26" a="1"/>
  <c r="O53" i="25" a="1"/>
  <c r="O25" i="25" a="1"/>
  <c r="P26" i="20" a="1"/>
  <c r="P29" i="23" a="1"/>
  <c r="P23" i="22" a="1"/>
  <c r="O20" i="29" a="1"/>
  <c r="O49" i="27" a="1"/>
  <c r="P21" i="19" a="1"/>
  <c r="O29" i="26" a="1"/>
  <c r="O42" i="26" a="1"/>
  <c r="O49" i="26" a="1"/>
  <c r="O28" i="25" a="1"/>
  <c r="O19" i="25" a="1"/>
  <c r="O23" i="25" a="1"/>
  <c r="O40" i="25" a="1"/>
  <c r="P28" i="20" a="1"/>
  <c r="P21" i="20" a="1"/>
  <c r="P52" i="23" a="1"/>
  <c r="P26" i="23" a="1"/>
  <c r="P43" i="23" a="1"/>
  <c r="P16" i="23" a="1"/>
  <c r="O50" i="28" a="1"/>
  <c r="O23" i="28" a="1"/>
  <c r="O37" i="28" a="1"/>
  <c r="P52" i="22" a="1"/>
  <c r="P16" i="22" a="1"/>
  <c r="P31" i="22" a="1"/>
  <c r="P43" i="22" a="1"/>
  <c r="O19" i="29" a="1"/>
  <c r="O35" i="29" a="1"/>
  <c r="O34" i="27" a="1"/>
  <c r="O24" i="27" a="1"/>
  <c r="O18" i="27" a="1"/>
  <c r="O26" i="27" a="1"/>
  <c r="P42" i="19" a="1"/>
  <c r="P16" i="19" a="1"/>
  <c r="P39" i="19" a="1"/>
  <c r="P15" i="9" a="1"/>
  <c r="P24" i="9" a="1"/>
  <c r="P36" i="9" a="1"/>
  <c r="P33" i="9" a="1"/>
  <c r="P25" i="21" a="1"/>
  <c r="P50" i="21" a="1"/>
  <c r="P42" i="21" a="1"/>
  <c r="O15" i="24" a="1"/>
  <c r="O52" i="24" a="1"/>
  <c r="O49" i="24" a="1"/>
  <c r="O30" i="24" a="1"/>
  <c r="O44" i="26" a="1"/>
  <c r="P38" i="20" a="1"/>
  <c r="P37" i="22" a="1"/>
  <c r="O47" i="27" a="1"/>
  <c r="P22" i="9" a="1"/>
  <c r="P44" i="21" a="1"/>
  <c r="O29" i="24" a="1"/>
  <c r="P15" i="19" a="1"/>
  <c r="P23" i="9" a="1"/>
  <c r="P51" i="23" a="1"/>
  <c r="P54" i="22" a="1"/>
  <c r="O32" i="27" a="1"/>
  <c r="P16" i="21" a="1"/>
  <c r="O39" i="24" a="1"/>
  <c r="O18" i="26" a="1"/>
  <c r="O41" i="26" a="1"/>
  <c r="O23" i="26" a="1"/>
  <c r="O38" i="25" a="1"/>
  <c r="O45" i="25" a="1"/>
  <c r="O34" i="25" a="1"/>
  <c r="O27" i="25" a="1"/>
  <c r="P35" i="20" a="1"/>
  <c r="P20" i="20" a="1"/>
  <c r="P32" i="20" a="1"/>
  <c r="P34" i="23" a="1"/>
  <c r="P47" i="23" a="1"/>
  <c r="P42" i="23" a="1"/>
  <c r="P32" i="23" a="1"/>
  <c r="O48" i="28" a="1"/>
  <c r="O32" i="28" a="1"/>
  <c r="O44" i="28" a="1"/>
  <c r="P50" i="22" a="1"/>
  <c r="P51" i="22" a="1"/>
  <c r="P49" i="22" a="1"/>
  <c r="P20" i="22" a="1"/>
  <c r="O21" i="29" a="1"/>
  <c r="O22" i="29" a="1"/>
  <c r="O33" i="29" a="1"/>
  <c r="O41" i="27" a="1"/>
  <c r="O42" i="27" a="1"/>
  <c r="O20" i="27" a="1"/>
  <c r="O54" i="27" a="1"/>
  <c r="P52" i="19" a="1"/>
  <c r="P47" i="19" a="1"/>
  <c r="P51" i="19" a="1"/>
  <c r="P25" i="9" a="1"/>
  <c r="P21" i="9" a="1"/>
  <c r="P27" i="9" a="1"/>
  <c r="P40" i="9" a="1"/>
  <c r="P32" i="21" a="1"/>
  <c r="P24" i="21" a="1"/>
  <c r="O19" i="24" a="1"/>
  <c r="O24" i="24" a="1"/>
  <c r="O33" i="24" a="1"/>
  <c r="P50" i="19" a="1"/>
  <c r="P26" i="9" a="1"/>
  <c r="P26" i="21" a="1"/>
  <c r="O44" i="24" a="1"/>
  <c r="O20" i="24" a="1"/>
  <c r="O23" i="24" a="1"/>
  <c r="O40" i="28" a="1"/>
  <c r="P38" i="22" a="1"/>
  <c r="O37" i="27" a="1"/>
  <c r="P37" i="19" a="1"/>
  <c r="P49" i="21" a="1"/>
  <c r="O45" i="24" a="1"/>
  <c r="O48" i="26" a="1"/>
  <c r="O35" i="26" a="1"/>
  <c r="P31" i="20" a="1"/>
  <c r="P15" i="20" a="1"/>
  <c r="P18" i="23" a="1"/>
  <c r="P45" i="23" a="1"/>
  <c r="O47" i="28" a="1"/>
  <c r="O38" i="28" a="1"/>
  <c r="P35" i="22" a="1"/>
  <c r="P30" i="22" a="1"/>
  <c r="P22" i="22" a="1"/>
  <c r="O29" i="29" a="1"/>
  <c r="O40" i="29" a="1"/>
  <c r="O38" i="29" a="1"/>
  <c r="O42" i="29" a="1"/>
  <c r="O36" i="27" a="1"/>
  <c r="O40" i="27" a="1"/>
  <c r="O22" i="27" a="1"/>
  <c r="P41" i="19" a="1"/>
  <c r="P17" i="19" a="1"/>
  <c r="P19" i="9" a="1"/>
  <c r="P54" i="9" a="1"/>
  <c r="P33" i="21" a="1"/>
  <c r="P34" i="21" a="1"/>
  <c r="O42" i="24" a="1"/>
  <c r="O28" i="24" a="1"/>
  <c r="P45" i="21" a="1"/>
  <c r="P38" i="21" a="1"/>
  <c r="O25" i="24" a="1"/>
  <c r="O42" i="25" a="1"/>
  <c r="P22" i="23" a="1"/>
  <c r="O27" i="28" a="1"/>
  <c r="O33" i="28" a="1"/>
  <c r="P41" i="22" a="1"/>
  <c r="O17" i="29" a="1"/>
  <c r="P53" i="19" a="1"/>
  <c r="P44" i="9" a="1"/>
  <c r="P17" i="21" a="1"/>
  <c r="O18" i="24" a="1"/>
  <c r="O47" i="25" a="1"/>
  <c r="P50" i="23" a="1"/>
  <c r="O34" i="28" a="1"/>
  <c r="P46" i="19" a="1"/>
  <c r="P43" i="9" a="1"/>
  <c r="O38" i="24" a="1"/>
  <c r="O28" i="26" a="1"/>
  <c r="O52" i="26" a="1"/>
  <c r="O41" i="25" a="1"/>
  <c r="O35" i="25" a="1"/>
  <c r="O26" i="25" a="1"/>
  <c r="O24" i="25" a="1"/>
  <c r="P18" i="20" a="1"/>
  <c r="P40" i="20" a="1"/>
  <c r="P46" i="23" a="1"/>
  <c r="P54" i="23" a="1"/>
  <c r="P15" i="23" a="1"/>
  <c r="P28" i="23" a="1"/>
  <c r="O25" i="28" a="1"/>
  <c r="O15" i="28" a="1"/>
  <c r="O24" i="28" a="1"/>
  <c r="P15" i="22" a="1"/>
  <c r="P40" i="22" a="1"/>
  <c r="P34" i="22" a="1"/>
  <c r="O47" i="29" a="1"/>
  <c r="O43" i="29" a="1"/>
  <c r="O31" i="29" a="1"/>
  <c r="O50" i="27" a="1"/>
  <c r="O25" i="27" a="1"/>
  <c r="O53" i="27" a="1"/>
  <c r="P25" i="19" a="1"/>
  <c r="P48" i="19" a="1"/>
  <c r="P45" i="9" a="1"/>
  <c r="P31" i="9" a="1"/>
  <c r="P20" i="9" a="1"/>
  <c r="P54" i="21" a="1"/>
  <c r="P47" i="21" a="1"/>
  <c r="O26" i="24" a="1"/>
  <c r="P37" i="20" a="1"/>
  <c r="P24" i="20" a="1"/>
  <c r="P36" i="20" a="1"/>
  <c r="P36" i="23" a="1"/>
  <c r="P30" i="23" a="1"/>
  <c r="P19" i="23" a="1"/>
  <c r="O21" i="28" a="1"/>
  <c r="O49" i="28" a="1"/>
  <c r="P46" i="22" a="1"/>
  <c r="O39" i="29" a="1"/>
  <c r="O52" i="29" a="1"/>
  <c r="O48" i="29" a="1"/>
  <c r="O23" i="27" a="1"/>
  <c r="P45" i="19" a="1"/>
  <c r="P38" i="19" a="1"/>
  <c r="P32" i="19" a="1"/>
  <c r="P48" i="9" a="1"/>
  <c r="P19" i="21" a="1"/>
  <c r="P18" i="21" a="1"/>
  <c r="O27" i="24" a="1"/>
  <c r="O47" i="26" a="1"/>
  <c r="O21" i="25" a="1"/>
  <c r="P33" i="20" a="1"/>
  <c r="P31" i="19" a="1"/>
  <c r="P37" i="21" a="1"/>
  <c r="P29" i="21" a="1"/>
  <c r="O47" i="24" a="1"/>
  <c r="O37" i="26" a="1"/>
  <c r="P42" i="20" a="1"/>
  <c r="P53" i="23" a="1"/>
  <c r="O51" i="28" a="1"/>
  <c r="O43" i="28" a="1"/>
  <c r="P45" i="22" a="1"/>
  <c r="P48" i="22" a="1"/>
  <c r="O32" i="29" a="1"/>
  <c r="P23" i="19" a="1"/>
  <c r="P20" i="21" a="1"/>
  <c r="O34" i="24" a="1"/>
  <c r="O54" i="25" a="1"/>
  <c r="P17" i="22" a="1"/>
  <c r="O39" i="27" a="1"/>
  <c r="O39" i="27" l="1"/>
  <c r="P17" i="22"/>
  <c r="O54" i="25"/>
  <c r="O34" i="24"/>
  <c r="P20" i="21"/>
  <c r="P23" i="19"/>
  <c r="O32" i="29"/>
  <c r="P48" i="22"/>
  <c r="P45" i="22"/>
  <c r="O43" i="28"/>
  <c r="O51" i="28"/>
  <c r="P53" i="23"/>
  <c r="P42" i="20"/>
  <c r="O37" i="26"/>
  <c r="O47" i="24"/>
  <c r="P29" i="21"/>
  <c r="P37" i="21"/>
  <c r="P31" i="19"/>
  <c r="P33" i="20"/>
  <c r="O21" i="25"/>
  <c r="O47" i="26"/>
  <c r="O27" i="24"/>
  <c r="P18" i="21"/>
  <c r="P19" i="21"/>
  <c r="P48" i="9"/>
  <c r="P32" i="19"/>
  <c r="P38" i="19"/>
  <c r="P45" i="19"/>
  <c r="O23" i="27"/>
  <c r="O48" i="29"/>
  <c r="O52" i="29"/>
  <c r="O39" i="29"/>
  <c r="P46" i="22"/>
  <c r="O49" i="28"/>
  <c r="O21" i="28"/>
  <c r="P19" i="23"/>
  <c r="P30" i="23"/>
  <c r="P36" i="23"/>
  <c r="P36" i="20"/>
  <c r="P24" i="20"/>
  <c r="P37" i="20"/>
  <c r="O26" i="24"/>
  <c r="P47" i="21"/>
  <c r="P54" i="21"/>
  <c r="P20" i="9"/>
  <c r="P31" i="9"/>
  <c r="P45" i="9"/>
  <c r="P48" i="19"/>
  <c r="P25" i="19"/>
  <c r="O53" i="27"/>
  <c r="O25" i="27"/>
  <c r="O50" i="27"/>
  <c r="O31" i="29"/>
  <c r="O43" i="29"/>
  <c r="O47" i="29"/>
  <c r="P34" i="22"/>
  <c r="P40" i="22"/>
  <c r="P15" i="22"/>
  <c r="O24" i="28"/>
  <c r="O15" i="28"/>
  <c r="O25" i="28"/>
  <c r="P28" i="23"/>
  <c r="P15" i="23"/>
  <c r="P54" i="23"/>
  <c r="P46" i="23"/>
  <c r="P40" i="20"/>
  <c r="P18" i="20"/>
  <c r="O24" i="25"/>
  <c r="O26" i="25"/>
  <c r="O35" i="25"/>
  <c r="O41" i="25"/>
  <c r="O52" i="26"/>
  <c r="O28" i="26"/>
  <c r="O38" i="24"/>
  <c r="P43" i="9"/>
  <c r="P46" i="19"/>
  <c r="O34" i="28"/>
  <c r="P50" i="23"/>
  <c r="O47" i="25"/>
  <c r="O18" i="24"/>
  <c r="P17" i="21"/>
  <c r="P44" i="9"/>
  <c r="P53" i="19"/>
  <c r="O17" i="29"/>
  <c r="P41" i="22"/>
  <c r="O33" i="28"/>
  <c r="O27" i="28"/>
  <c r="P22" i="23"/>
  <c r="O42" i="25"/>
  <c r="O25" i="24"/>
  <c r="P38" i="21"/>
  <c r="P45" i="21"/>
  <c r="O28" i="24"/>
  <c r="O42" i="24"/>
  <c r="P34" i="21"/>
  <c r="P33" i="21"/>
  <c r="P54" i="9"/>
  <c r="P19" i="9"/>
  <c r="P17" i="19"/>
  <c r="P41" i="19"/>
  <c r="O22" i="27"/>
  <c r="O40" i="27"/>
  <c r="O36" i="27"/>
  <c r="O42" i="29"/>
  <c r="O38" i="29"/>
  <c r="O40" i="29"/>
  <c r="O29" i="29"/>
  <c r="P22" i="22"/>
  <c r="P30" i="22"/>
  <c r="P35" i="22"/>
  <c r="O38" i="28"/>
  <c r="O47" i="28"/>
  <c r="P45" i="23"/>
  <c r="P18" i="23"/>
  <c r="P15" i="20"/>
  <c r="P31" i="20"/>
  <c r="O35" i="26"/>
  <c r="O48" i="26"/>
  <c r="O45" i="24"/>
  <c r="P49" i="21"/>
  <c r="P37" i="19"/>
  <c r="O37" i="27"/>
  <c r="P38" i="22"/>
  <c r="O40" i="28"/>
  <c r="O23" i="24"/>
  <c r="O20" i="24"/>
  <c r="O44" i="24"/>
  <c r="P26" i="21"/>
  <c r="P26" i="9"/>
  <c r="P50" i="19"/>
  <c r="O33" i="24"/>
  <c r="O24" i="24"/>
  <c r="O19" i="24"/>
  <c r="P24" i="21"/>
  <c r="P32" i="21"/>
  <c r="P40" i="9"/>
  <c r="P27" i="9"/>
  <c r="P21" i="9"/>
  <c r="P25" i="9"/>
  <c r="P51" i="19"/>
  <c r="P47" i="19"/>
  <c r="P52" i="19"/>
  <c r="O54" i="27"/>
  <c r="O20" i="27"/>
  <c r="O42" i="27"/>
  <c r="O41" i="27"/>
  <c r="O33" i="29"/>
  <c r="O22" i="29"/>
  <c r="O21" i="29"/>
  <c r="P20" i="22"/>
  <c r="P49" i="22"/>
  <c r="P51" i="22"/>
  <c r="P50" i="22"/>
  <c r="O44" i="28"/>
  <c r="O32" i="28"/>
  <c r="O48" i="28"/>
  <c r="P32" i="23"/>
  <c r="P42" i="23"/>
  <c r="P47" i="23"/>
  <c r="P34" i="23"/>
  <c r="P32" i="20"/>
  <c r="P20" i="20"/>
  <c r="P35" i="20"/>
  <c r="O27" i="25"/>
  <c r="O34" i="25"/>
  <c r="O45" i="25"/>
  <c r="O38" i="25"/>
  <c r="O23" i="26"/>
  <c r="O41" i="26"/>
  <c r="O18" i="26"/>
  <c r="O39" i="24"/>
  <c r="P16" i="21"/>
  <c r="O32" i="27"/>
  <c r="P54" i="22"/>
  <c r="P51" i="23"/>
  <c r="P23" i="9"/>
  <c r="P15" i="19"/>
  <c r="O29" i="24"/>
  <c r="P44" i="21"/>
  <c r="P22" i="9"/>
  <c r="O47" i="27"/>
  <c r="P37" i="22"/>
  <c r="P38" i="20"/>
  <c r="O44" i="26"/>
  <c r="O30" i="24"/>
  <c r="O49" i="24"/>
  <c r="O52" i="24"/>
  <c r="O15" i="24"/>
  <c r="P42" i="21"/>
  <c r="P50" i="21"/>
  <c r="P25" i="21"/>
  <c r="P33" i="9"/>
  <c r="P36" i="9"/>
  <c r="P24" i="9"/>
  <c r="P15" i="9"/>
  <c r="P39" i="19"/>
  <c r="P16" i="19"/>
  <c r="P42" i="19"/>
  <c r="O26" i="27"/>
  <c r="O18" i="27"/>
  <c r="O24" i="27"/>
  <c r="O34" i="27"/>
  <c r="O35" i="29"/>
  <c r="O19" i="29"/>
  <c r="P43" i="22"/>
  <c r="P31" i="22"/>
  <c r="P16" i="22"/>
  <c r="P52" i="22"/>
  <c r="O37" i="28"/>
  <c r="O23" i="28"/>
  <c r="O50" i="28"/>
  <c r="P16" i="23"/>
  <c r="P43" i="23"/>
  <c r="P26" i="23"/>
  <c r="P52" i="23"/>
  <c r="P21" i="20"/>
  <c r="P28" i="20"/>
  <c r="O40" i="25"/>
  <c r="O23" i="25"/>
  <c r="O19" i="25"/>
  <c r="O28" i="25"/>
  <c r="O49" i="26"/>
  <c r="O42" i="26"/>
  <c r="O29" i="26"/>
  <c r="P21" i="19"/>
  <c r="O49" i="27"/>
  <c r="O20" i="29"/>
  <c r="P23" i="22"/>
  <c r="P29" i="23"/>
  <c r="P26" i="20"/>
  <c r="O25" i="25"/>
  <c r="O53" i="25"/>
  <c r="O16" i="26"/>
  <c r="P53" i="9"/>
  <c r="O31" i="27"/>
  <c r="O41" i="24"/>
  <c r="O31" i="24"/>
  <c r="O40" i="24"/>
  <c r="P28" i="21"/>
  <c r="P35" i="21"/>
  <c r="P32" i="9"/>
  <c r="P38" i="9"/>
  <c r="P47" i="9"/>
  <c r="P24" i="19"/>
  <c r="P33" i="19"/>
  <c r="P40" i="19"/>
  <c r="O21" i="27"/>
  <c r="O29" i="27"/>
  <c r="O27" i="27"/>
  <c r="O44" i="29"/>
  <c r="O27" i="29"/>
  <c r="O41" i="29"/>
  <c r="P27" i="22"/>
  <c r="P32" i="22"/>
  <c r="P18" i="22"/>
  <c r="O22" i="28"/>
  <c r="O52" i="28"/>
  <c r="O29" i="28"/>
  <c r="P31" i="23"/>
  <c r="P35" i="23"/>
  <c r="P21" i="23"/>
  <c r="P51" i="20"/>
  <c r="P53" i="20"/>
  <c r="O46" i="25"/>
  <c r="O43" i="25"/>
  <c r="O51" i="25"/>
  <c r="O36" i="25"/>
  <c r="O22" i="26"/>
  <c r="O33" i="26"/>
  <c r="O51" i="24"/>
  <c r="O35" i="24"/>
  <c r="O50" i="24"/>
  <c r="O22" i="24"/>
  <c r="P27" i="21"/>
  <c r="P48" i="21"/>
  <c r="P30" i="21"/>
  <c r="P18" i="9"/>
  <c r="P50" i="9"/>
  <c r="P28" i="9"/>
  <c r="P35" i="19"/>
  <c r="P22" i="19"/>
  <c r="P34" i="19"/>
  <c r="O38" i="27"/>
  <c r="O48" i="27"/>
  <c r="O19" i="27"/>
  <c r="O46" i="27"/>
  <c r="O51" i="29"/>
  <c r="O54" i="29"/>
  <c r="O34" i="29"/>
  <c r="P42" i="22"/>
  <c r="P44" i="22"/>
  <c r="P25" i="22"/>
  <c r="P21" i="22"/>
  <c r="O54" i="28"/>
  <c r="O28" i="28"/>
  <c r="P20" i="23"/>
  <c r="P24" i="23"/>
  <c r="P38" i="23"/>
  <c r="P40" i="23"/>
  <c r="P46" i="20"/>
  <c r="P27" i="20"/>
  <c r="P52" i="20"/>
  <c r="O22" i="25"/>
  <c r="O32" i="25"/>
  <c r="O49" i="25"/>
  <c r="O18" i="25"/>
  <c r="O24" i="26"/>
  <c r="O25" i="26"/>
  <c r="O31" i="26"/>
  <c r="O48" i="24"/>
  <c r="P41" i="9"/>
  <c r="O18" i="29"/>
  <c r="O42" i="28"/>
  <c r="O15" i="26"/>
  <c r="P41" i="20"/>
  <c r="O45" i="26"/>
  <c r="P43" i="21"/>
  <c r="P42" i="9"/>
  <c r="P26" i="19"/>
  <c r="O53" i="29"/>
  <c r="P33" i="22"/>
  <c r="P49" i="23"/>
  <c r="P39" i="20"/>
  <c r="P31" i="21"/>
  <c r="P30" i="19"/>
  <c r="O16" i="27"/>
  <c r="O23" i="29"/>
  <c r="O25" i="29"/>
  <c r="P17" i="23"/>
  <c r="P50" i="20"/>
  <c r="O44" i="25"/>
  <c r="O21" i="26"/>
  <c r="O16" i="24"/>
  <c r="P36" i="21"/>
  <c r="P17" i="9"/>
  <c r="P37" i="9"/>
  <c r="P30" i="9"/>
  <c r="P20" i="19"/>
  <c r="P19" i="19"/>
  <c r="P29" i="19"/>
  <c r="P28" i="19"/>
  <c r="O52" i="27"/>
  <c r="O45" i="27"/>
  <c r="O15" i="27"/>
  <c r="O15" i="29"/>
  <c r="O26" i="29"/>
  <c r="O46" i="29"/>
  <c r="P19" i="22"/>
  <c r="P47" i="22"/>
  <c r="P28" i="22"/>
  <c r="O36" i="28"/>
  <c r="O16" i="28"/>
  <c r="O20" i="28"/>
  <c r="O39" i="28"/>
  <c r="P37" i="23"/>
  <c r="P25" i="23"/>
  <c r="P27" i="23"/>
  <c r="P29" i="20"/>
  <c r="P30" i="20"/>
  <c r="P54" i="20"/>
  <c r="P25" i="20"/>
  <c r="O17" i="25"/>
  <c r="O20" i="25"/>
  <c r="O39" i="25"/>
  <c r="O19" i="26"/>
  <c r="O40" i="26"/>
  <c r="O17" i="26"/>
  <c r="O50" i="26"/>
  <c r="P23" i="21"/>
  <c r="O51" i="27"/>
  <c r="O41" i="28"/>
  <c r="P41" i="23"/>
  <c r="P16" i="20"/>
  <c r="O31" i="25"/>
  <c r="O36" i="26"/>
  <c r="O21" i="24"/>
  <c r="O54" i="24"/>
  <c r="O46" i="24"/>
  <c r="P52" i="21"/>
  <c r="P39" i="21"/>
  <c r="P41" i="21"/>
  <c r="P46" i="21"/>
  <c r="P52" i="9"/>
  <c r="P34" i="9"/>
  <c r="P35" i="9"/>
  <c r="P36" i="19"/>
  <c r="P49" i="19"/>
  <c r="P54" i="19"/>
  <c r="P27" i="19"/>
  <c r="O33" i="27"/>
  <c r="O35" i="27"/>
  <c r="O43" i="27"/>
  <c r="O16" i="29"/>
  <c r="O49" i="29"/>
  <c r="O30" i="29"/>
  <c r="O45" i="29"/>
  <c r="P26" i="22"/>
  <c r="P29" i="22"/>
  <c r="O30" i="28"/>
  <c r="O45" i="28"/>
  <c r="O26" i="28"/>
  <c r="O17" i="28"/>
  <c r="P33" i="23"/>
  <c r="P48" i="23"/>
  <c r="P43" i="20"/>
  <c r="P22" i="20"/>
  <c r="P44" i="20"/>
  <c r="P23" i="20"/>
  <c r="O30" i="25"/>
  <c r="O37" i="25"/>
  <c r="O15" i="25"/>
  <c r="O26" i="26"/>
  <c r="O51" i="26"/>
  <c r="O43" i="26"/>
  <c r="O30" i="26"/>
  <c r="O53" i="24"/>
  <c r="P29" i="9"/>
  <c r="O53" i="28"/>
  <c r="P34" i="20"/>
  <c r="O27" i="26"/>
  <c r="P19" i="20"/>
  <c r="O50" i="25"/>
  <c r="O37" i="24"/>
  <c r="P53" i="21"/>
  <c r="O43" i="24"/>
  <c r="P40" i="21"/>
  <c r="P39" i="9"/>
  <c r="O30" i="27"/>
  <c r="O18" i="28"/>
  <c r="P45" i="20"/>
  <c r="O29" i="25"/>
  <c r="O20" i="26"/>
  <c r="O46" i="26"/>
  <c r="P49" i="9"/>
  <c r="O50" i="29"/>
  <c r="P53" i="22"/>
  <c r="O16" i="25"/>
  <c r="O54" i="26"/>
  <c r="O39" i="26"/>
  <c r="O32" i="24"/>
  <c r="O36" i="24"/>
  <c r="O17" i="24"/>
  <c r="P51" i="21"/>
  <c r="P22" i="21"/>
  <c r="P21" i="21"/>
  <c r="P15" i="21"/>
  <c r="P46" i="9"/>
  <c r="P51" i="9"/>
  <c r="P16" i="9"/>
  <c r="P44" i="19"/>
  <c r="P43" i="19"/>
  <c r="P18" i="19"/>
  <c r="O44" i="27"/>
  <c r="O28" i="27"/>
  <c r="O17" i="27"/>
  <c r="O37" i="29"/>
  <c r="O36" i="29"/>
  <c r="O24" i="29"/>
  <c r="O28" i="29"/>
  <c r="P24" i="22"/>
  <c r="P39" i="22"/>
  <c r="P36" i="22"/>
  <c r="O35" i="28"/>
  <c r="O31" i="28"/>
  <c r="O46" i="28"/>
  <c r="O19" i="28"/>
  <c r="P39" i="23"/>
  <c r="P23" i="23"/>
  <c r="P44" i="23"/>
  <c r="P48" i="20"/>
  <c r="P47" i="20"/>
  <c r="P49" i="20"/>
  <c r="P17" i="20"/>
  <c r="O52" i="25"/>
  <c r="O33" i="25"/>
  <c r="O48" i="25"/>
  <c r="O53" i="26"/>
  <c r="O32" i="26"/>
  <c r="O38" i="26"/>
  <c r="O34" i="26"/>
  <c r="Q11" i="27"/>
  <c r="P12" i="27"/>
  <c r="Q12" i="22"/>
  <c r="R11" i="22"/>
  <c r="Q12" i="20"/>
  <c r="R11" i="20"/>
  <c r="P12" i="28"/>
  <c r="Q11" i="28"/>
  <c r="Q11" i="25"/>
  <c r="P12" i="25"/>
  <c r="R11" i="23"/>
  <c r="Q12" i="23"/>
  <c r="R11" i="21"/>
  <c r="Q12" i="21"/>
  <c r="P12" i="24"/>
  <c r="Q11" i="24"/>
  <c r="Q12" i="9"/>
  <c r="R11" i="9"/>
  <c r="Q11" i="29"/>
  <c r="P12" i="29"/>
  <c r="P12" i="26"/>
  <c r="Q11" i="26"/>
  <c r="R11" i="19"/>
  <c r="Q12" i="19"/>
  <c r="P25" i="27" a="1"/>
  <c r="P15" i="27" a="1"/>
  <c r="P49" i="27" a="1"/>
  <c r="P46" i="27" a="1"/>
  <c r="Q46" i="22" a="1"/>
  <c r="Q35" i="22" a="1"/>
  <c r="Q27" i="22" a="1"/>
  <c r="Q16" i="20" a="1"/>
  <c r="Q30" i="20" a="1"/>
  <c r="P24" i="28" a="1"/>
  <c r="P17" i="28" a="1"/>
  <c r="P23" i="28" a="1"/>
  <c r="P34" i="25" a="1"/>
  <c r="Q33" i="23" a="1"/>
  <c r="Q23" i="23" a="1"/>
  <c r="Q19" i="21" a="1"/>
  <c r="Q30" i="9" a="1"/>
  <c r="P42" i="26" a="1"/>
  <c r="P48" i="26" a="1"/>
  <c r="Q50" i="19" a="1"/>
  <c r="Q28" i="21" a="1"/>
  <c r="Q16" i="9" a="1"/>
  <c r="P46" i="26" a="1"/>
  <c r="P52" i="26" a="1"/>
  <c r="Q29" i="19" a="1"/>
  <c r="Q29" i="22" a="1"/>
  <c r="P51" i="29" a="1"/>
  <c r="P26" i="28" a="1"/>
  <c r="Q22" i="21" a="1"/>
  <c r="Q21" i="19" a="1"/>
  <c r="P20" i="27" a="1"/>
  <c r="P41" i="27" a="1"/>
  <c r="P31" i="27" a="1"/>
  <c r="P33" i="27" a="1"/>
  <c r="Q18" i="22" a="1"/>
  <c r="Q28" i="22" a="1"/>
  <c r="Q25" i="22" a="1"/>
  <c r="Q44" i="20" a="1"/>
  <c r="Q28" i="20" a="1"/>
  <c r="Q18" i="20" a="1"/>
  <c r="P34" i="28" a="1"/>
  <c r="P44" i="28" a="1"/>
  <c r="P16" i="25" a="1"/>
  <c r="P35" i="25" a="1"/>
  <c r="P42" i="25" a="1"/>
  <c r="P25" i="25" a="1"/>
  <c r="Q35" i="23" a="1"/>
  <c r="Q49" i="23" a="1"/>
  <c r="Q36" i="23" a="1"/>
  <c r="Q48" i="21" a="1"/>
  <c r="Q25" i="21" a="1"/>
  <c r="Q17" i="21" a="1"/>
  <c r="P42" i="24" a="1"/>
  <c r="P27" i="24" a="1"/>
  <c r="P23" i="24" a="1"/>
  <c r="Q15" i="9" a="1"/>
  <c r="Q17" i="9" a="1"/>
  <c r="Q49" i="9" a="1"/>
  <c r="Q42" i="9" a="1"/>
  <c r="P39" i="29" a="1"/>
  <c r="P47" i="29" a="1"/>
  <c r="P38" i="29" a="1"/>
  <c r="P16" i="26" a="1"/>
  <c r="P27" i="26" a="1"/>
  <c r="P22" i="26" a="1"/>
  <c r="P43" i="26" a="1"/>
  <c r="Q20" i="19" a="1"/>
  <c r="Q30" i="19" a="1"/>
  <c r="Q17" i="19" a="1"/>
  <c r="P17" i="26" a="1"/>
  <c r="P15" i="26" a="1"/>
  <c r="Q16" i="19" a="1"/>
  <c r="Q26" i="19" a="1"/>
  <c r="Q19" i="22" a="1"/>
  <c r="Q34" i="20" a="1"/>
  <c r="P44" i="25" a="1"/>
  <c r="Q20" i="23" a="1"/>
  <c r="Q47" i="21" a="1"/>
  <c r="P25" i="24" a="1"/>
  <c r="P35" i="29" a="1"/>
  <c r="P20" i="26" a="1"/>
  <c r="Q54" i="19" a="1"/>
  <c r="P52" i="27" a="1"/>
  <c r="Q39" i="22" a="1"/>
  <c r="Q47" i="20" a="1"/>
  <c r="Q46" i="23" a="1"/>
  <c r="Q29" i="21" a="1"/>
  <c r="Q48" i="9" a="1"/>
  <c r="P33" i="26" a="1"/>
  <c r="P32" i="27" a="1"/>
  <c r="Q20" i="22" a="1"/>
  <c r="Q42" i="20" a="1"/>
  <c r="P37" i="28" a="1"/>
  <c r="P47" i="25" a="1"/>
  <c r="Q43" i="21" a="1"/>
  <c r="P54" i="24" a="1"/>
  <c r="P44" i="26" a="1"/>
  <c r="Q28" i="19" a="1"/>
  <c r="P48" i="27" a="1"/>
  <c r="P53" i="27" a="1"/>
  <c r="P24" i="27" a="1"/>
  <c r="P44" i="27" a="1"/>
  <c r="Q44" i="22" a="1"/>
  <c r="Q26" i="22" a="1"/>
  <c r="Q34" i="22" a="1"/>
  <c r="Q17" i="20" a="1"/>
  <c r="Q26" i="20" a="1"/>
  <c r="Q20" i="20" a="1"/>
  <c r="Q54" i="20" a="1"/>
  <c r="P31" i="28" a="1"/>
  <c r="P33" i="28" a="1"/>
  <c r="P22" i="28" a="1"/>
  <c r="P46" i="25" a="1"/>
  <c r="P37" i="25" a="1"/>
  <c r="Q44" i="23" a="1"/>
  <c r="Q22" i="23" a="1"/>
  <c r="Q48" i="23" a="1"/>
  <c r="Q15" i="21" a="1"/>
  <c r="Q26" i="21" a="1"/>
  <c r="Q16" i="21" a="1"/>
  <c r="Q33" i="21" a="1"/>
  <c r="P40" i="24" a="1"/>
  <c r="P47" i="24" a="1"/>
  <c r="P17" i="24" a="1"/>
  <c r="Q28" i="9" a="1"/>
  <c r="Q32" i="9" a="1"/>
  <c r="Q23" i="9" a="1"/>
  <c r="Q38" i="9" a="1"/>
  <c r="P36" i="29" a="1"/>
  <c r="P29" i="29" a="1"/>
  <c r="P40" i="29" a="1"/>
  <c r="P40" i="26" a="1"/>
  <c r="P21" i="26" a="1"/>
  <c r="P54" i="26" a="1"/>
  <c r="P30" i="26" a="1"/>
  <c r="Q18" i="19" a="1"/>
  <c r="Q48" i="19" a="1"/>
  <c r="Q44" i="19" a="1"/>
  <c r="P41" i="26" a="1"/>
  <c r="P18" i="27" a="1"/>
  <c r="P26" i="27" a="1"/>
  <c r="P38" i="27" a="1"/>
  <c r="P45" i="27" a="1"/>
  <c r="Q50" i="22" a="1"/>
  <c r="Q50" i="20" a="1"/>
  <c r="P50" i="28" a="1"/>
  <c r="P42" i="28" a="1"/>
  <c r="P45" i="28" a="1"/>
  <c r="P32" i="25" a="1"/>
  <c r="Q30" i="23" a="1"/>
  <c r="Q44" i="9" a="1"/>
  <c r="Q41" i="9" a="1"/>
  <c r="P53" i="29" a="1"/>
  <c r="Q34" i="19" a="1"/>
  <c r="P54" i="27" a="1"/>
  <c r="P49" i="28" a="1"/>
  <c r="Q38" i="21" a="1"/>
  <c r="P43" i="24" a="1"/>
  <c r="Q46" i="9" a="1"/>
  <c r="P53" i="26" a="1"/>
  <c r="Q40" i="19" a="1"/>
  <c r="P43" i="29" a="1"/>
  <c r="Q16" i="22" a="1"/>
  <c r="P18" i="28" a="1"/>
  <c r="P22" i="25" a="1"/>
  <c r="Q25" i="23" a="1"/>
  <c r="P21" i="24" a="1"/>
  <c r="P42" i="27" a="1"/>
  <c r="P50" i="27" a="1"/>
  <c r="P39" i="27" a="1"/>
  <c r="P19" i="27" a="1"/>
  <c r="Q36" i="22" a="1"/>
  <c r="Q43" i="22" a="1"/>
  <c r="Q48" i="22" a="1"/>
  <c r="Q38" i="20" a="1"/>
  <c r="Q31" i="20" a="1"/>
  <c r="Q41" i="20" a="1"/>
  <c r="Q53" i="20" a="1"/>
  <c r="P51" i="28" a="1"/>
  <c r="P27" i="28" a="1"/>
  <c r="P39" i="28" a="1"/>
  <c r="P38" i="25" a="1"/>
  <c r="P41" i="25" a="1"/>
  <c r="P28" i="25" a="1"/>
  <c r="P15" i="25" a="1"/>
  <c r="Q39" i="23" a="1"/>
  <c r="Q41" i="23" a="1"/>
  <c r="Q16" i="23" a="1"/>
  <c r="Q23" i="21" a="1"/>
  <c r="Q46" i="21" a="1"/>
  <c r="Q49" i="21" a="1"/>
  <c r="Q18" i="21" a="1"/>
  <c r="P18" i="24" a="1"/>
  <c r="P36" i="24" a="1"/>
  <c r="P51" i="24" a="1"/>
  <c r="Q39" i="9" a="1"/>
  <c r="Q20" i="9" a="1"/>
  <c r="Q33" i="9" a="1"/>
  <c r="Q29" i="9" a="1"/>
  <c r="P48" i="29" a="1"/>
  <c r="P44" i="29" a="1"/>
  <c r="P17" i="29" a="1"/>
  <c r="Q45" i="19" a="1"/>
  <c r="Q38" i="22" a="1"/>
  <c r="P26" i="25" a="1"/>
  <c r="Q42" i="21" a="1"/>
  <c r="P16" i="24" a="1"/>
  <c r="Q35" i="9" a="1"/>
  <c r="P31" i="26" a="1"/>
  <c r="P51" i="27" a="1"/>
  <c r="Q51" i="20" a="1"/>
  <c r="P48" i="28" a="1"/>
  <c r="P33" i="24" a="1"/>
  <c r="P45" i="29" a="1"/>
  <c r="Q19" i="19" a="1"/>
  <c r="P43" i="27" a="1"/>
  <c r="Q24" i="20" a="1"/>
  <c r="Q40" i="23" a="1"/>
  <c r="Q52" i="21" a="1"/>
  <c r="Q19" i="9" a="1"/>
  <c r="P38" i="26" a="1"/>
  <c r="Q45" i="20" a="1"/>
  <c r="P45" i="25" a="1"/>
  <c r="Q32" i="20" a="1"/>
  <c r="P19" i="25" a="1"/>
  <c r="Q32" i="23" a="1"/>
  <c r="Q34" i="21" a="1"/>
  <c r="P26" i="29" a="1"/>
  <c r="Q39" i="19" a="1"/>
  <c r="Q37" i="22" a="1"/>
  <c r="Q48" i="20" a="1"/>
  <c r="P47" i="28" a="1"/>
  <c r="P50" i="25" a="1"/>
  <c r="Q19" i="23" a="1"/>
  <c r="Q32" i="21" a="1"/>
  <c r="P26" i="24" a="1"/>
  <c r="Q23" i="19" a="1"/>
  <c r="P37" i="27" a="1"/>
  <c r="P43" i="28" a="1"/>
  <c r="Q44" i="21" a="1"/>
  <c r="Q18" i="9" a="1"/>
  <c r="Q31" i="19" a="1"/>
  <c r="P16" i="27" a="1"/>
  <c r="P23" i="27" a="1"/>
  <c r="P21" i="27" a="1"/>
  <c r="Q30" i="22" a="1"/>
  <c r="Q40" i="22" a="1"/>
  <c r="Q54" i="22" a="1"/>
  <c r="Q52" i="22" a="1"/>
  <c r="Q43" i="20" a="1"/>
  <c r="Q23" i="20" a="1"/>
  <c r="Q49" i="20" a="1"/>
  <c r="P36" i="28" a="1"/>
  <c r="P19" i="28" a="1"/>
  <c r="P25" i="28" a="1"/>
  <c r="P28" i="28" a="1"/>
  <c r="P21" i="25" a="1"/>
  <c r="P24" i="25" a="1"/>
  <c r="P48" i="25" a="1"/>
  <c r="Q17" i="23" a="1"/>
  <c r="Q52" i="23" a="1"/>
  <c r="Q27" i="23" a="1"/>
  <c r="Q31" i="23" a="1"/>
  <c r="Q50" i="21" a="1"/>
  <c r="Q37" i="21" a="1"/>
  <c r="P48" i="24" a="1"/>
  <c r="P28" i="24" a="1"/>
  <c r="P46" i="24" a="1"/>
  <c r="Q34" i="9" a="1"/>
  <c r="Q27" i="9" a="1"/>
  <c r="Q51" i="9" a="1"/>
  <c r="P28" i="29" a="1"/>
  <c r="P49" i="29" a="1"/>
  <c r="P54" i="29" a="1"/>
  <c r="P25" i="26" a="1"/>
  <c r="P24" i="26" a="1"/>
  <c r="P49" i="26" a="1"/>
  <c r="Q27" i="19" a="1"/>
  <c r="Q38" i="19" a="1"/>
  <c r="Q43" i="19" a="1"/>
  <c r="Q35" i="19" a="1"/>
  <c r="P52" i="25" a="1"/>
  <c r="Q24" i="23" a="1"/>
  <c r="Q53" i="21" a="1"/>
  <c r="Q41" i="21" a="1"/>
  <c r="P38" i="24" a="1"/>
  <c r="P49" i="24" a="1"/>
  <c r="P37" i="24" a="1"/>
  <c r="Q25" i="9" a="1"/>
  <c r="P32" i="29" a="1"/>
  <c r="P34" i="26" a="1"/>
  <c r="Q32" i="19" a="1"/>
  <c r="Q24" i="19" a="1"/>
  <c r="Q37" i="23" a="1"/>
  <c r="P30" i="24" a="1"/>
  <c r="Q54" i="9" a="1"/>
  <c r="P30" i="29" a="1"/>
  <c r="P29" i="26" a="1"/>
  <c r="Q42" i="19" a="1"/>
  <c r="Q45" i="22" a="1"/>
  <c r="Q22" i="20" a="1"/>
  <c r="P41" i="24" a="1"/>
  <c r="P35" i="26" a="1"/>
  <c r="Q15" i="19" a="1"/>
  <c r="P27" i="27" a="1"/>
  <c r="P29" i="27" a="1"/>
  <c r="P28" i="27" a="1"/>
  <c r="Q32" i="22" a="1"/>
  <c r="Q24" i="22" a="1"/>
  <c r="Q49" i="22" a="1"/>
  <c r="Q47" i="22" a="1"/>
  <c r="Q15" i="20" a="1"/>
  <c r="Q19" i="20" a="1"/>
  <c r="Q52" i="20" a="1"/>
  <c r="P46" i="28" a="1"/>
  <c r="P38" i="28" a="1"/>
  <c r="P29" i="28" a="1"/>
  <c r="P21" i="28" a="1"/>
  <c r="P29" i="25" a="1"/>
  <c r="P51" i="25" a="1"/>
  <c r="Q50" i="23" a="1"/>
  <c r="Q47" i="23" a="1"/>
  <c r="Q26" i="23" a="1"/>
  <c r="Q21" i="21" a="1"/>
  <c r="P44" i="24" a="1"/>
  <c r="Q24" i="9" a="1"/>
  <c r="Q52" i="9" a="1"/>
  <c r="P21" i="29" a="1"/>
  <c r="P23" i="29" a="1"/>
  <c r="P15" i="29" a="1"/>
  <c r="P45" i="26" a="1"/>
  <c r="Q46" i="19" a="1"/>
  <c r="Q22" i="19" a="1"/>
  <c r="Q18" i="23" a="1"/>
  <c r="P43" i="25" a="1"/>
  <c r="P20" i="29" a="1"/>
  <c r="P40" i="27" a="1"/>
  <c r="P35" i="27" a="1"/>
  <c r="P36" i="27" a="1"/>
  <c r="Q53" i="22" a="1"/>
  <c r="Q42" i="22" a="1"/>
  <c r="Q21" i="22" a="1"/>
  <c r="Q17" i="22" a="1"/>
  <c r="Q33" i="20" a="1"/>
  <c r="Q40" i="20" a="1"/>
  <c r="Q46" i="20" a="1"/>
  <c r="P15" i="28" a="1"/>
  <c r="P20" i="28" a="1"/>
  <c r="P40" i="28" a="1"/>
  <c r="P16" i="28" a="1"/>
  <c r="P31" i="25" a="1"/>
  <c r="P20" i="25" a="1"/>
  <c r="P30" i="25" a="1"/>
  <c r="Q21" i="23" a="1"/>
  <c r="Q15" i="23" a="1"/>
  <c r="Q51" i="23" a="1"/>
  <c r="Q40" i="21" a="1"/>
  <c r="Q36" i="21" a="1"/>
  <c r="Q27" i="21" a="1"/>
  <c r="P29" i="24" a="1"/>
  <c r="P50" i="24" a="1"/>
  <c r="P34" i="24" a="1"/>
  <c r="P39" i="24" a="1"/>
  <c r="Q36" i="9" a="1"/>
  <c r="Q47" i="9" a="1"/>
  <c r="Q53" i="9" a="1"/>
  <c r="P33" i="29" a="1"/>
  <c r="P50" i="29" a="1"/>
  <c r="P27" i="29" a="1"/>
  <c r="P24" i="29" a="1"/>
  <c r="P39" i="26" a="1"/>
  <c r="P50" i="26" a="1"/>
  <c r="P19" i="26" a="1"/>
  <c r="Q47" i="19" a="1"/>
  <c r="Q49" i="19" a="1"/>
  <c r="Q51" i="19" a="1"/>
  <c r="Q25" i="19" a="1"/>
  <c r="Q35" i="20" a="1"/>
  <c r="P40" i="25" a="1"/>
  <c r="P39" i="25" a="1"/>
  <c r="P33" i="25" a="1"/>
  <c r="Q38" i="23" a="1"/>
  <c r="Q24" i="21" a="1"/>
  <c r="Q30" i="21" a="1"/>
  <c r="P32" i="24" a="1"/>
  <c r="Q50" i="9" a="1"/>
  <c r="P16" i="29" a="1"/>
  <c r="P36" i="26" a="1"/>
  <c r="Q20" i="21" a="1"/>
  <c r="Q27" i="20" a="1"/>
  <c r="P49" i="25" a="1"/>
  <c r="P52" i="24" a="1"/>
  <c r="Q40" i="9" a="1"/>
  <c r="P23" i="26" a="1"/>
  <c r="Q22" i="22" a="1"/>
  <c r="P32" i="28" a="1"/>
  <c r="P27" i="25" a="1"/>
  <c r="Q51" i="21" a="1"/>
  <c r="P45" i="24" a="1"/>
  <c r="P19" i="29" a="1"/>
  <c r="P22" i="27" a="1"/>
  <c r="Q31" i="22" a="1"/>
  <c r="Q29" i="20" a="1"/>
  <c r="Q45" i="23" a="1"/>
  <c r="P53" i="24" a="1"/>
  <c r="P41" i="29" a="1"/>
  <c r="P25" i="29" a="1"/>
  <c r="P28" i="26" a="1"/>
  <c r="P34" i="27" a="1"/>
  <c r="P17" i="27" a="1"/>
  <c r="P47" i="27" a="1"/>
  <c r="Q51" i="22" a="1"/>
  <c r="Q41" i="22" a="1"/>
  <c r="Q33" i="22" a="1"/>
  <c r="Q15" i="22" a="1"/>
  <c r="Q25" i="20" a="1"/>
  <c r="Q37" i="20" a="1"/>
  <c r="Q39" i="20" a="1"/>
  <c r="P53" i="28" a="1"/>
  <c r="P54" i="28" a="1"/>
  <c r="P35" i="28" a="1"/>
  <c r="P52" i="28" a="1"/>
  <c r="P36" i="25" a="1"/>
  <c r="P17" i="25" a="1"/>
  <c r="P53" i="25" a="1"/>
  <c r="Q42" i="23" a="1"/>
  <c r="Q54" i="23" a="1"/>
  <c r="Q53" i="23" a="1"/>
  <c r="Q34" i="23" a="1"/>
  <c r="Q54" i="21" a="1"/>
  <c r="Q35" i="21" a="1"/>
  <c r="Q31" i="21" a="1"/>
  <c r="P31" i="24" a="1"/>
  <c r="P20" i="24" a="1"/>
  <c r="P19" i="24" a="1"/>
  <c r="P35" i="24" a="1"/>
  <c r="Q43" i="9" a="1"/>
  <c r="Q26" i="9" a="1"/>
  <c r="Q31" i="9" a="1"/>
  <c r="P42" i="29" a="1"/>
  <c r="P31" i="29" a="1"/>
  <c r="P52" i="29" a="1"/>
  <c r="P22" i="29" a="1"/>
  <c r="P37" i="26" a="1"/>
  <c r="P32" i="26" a="1"/>
  <c r="P47" i="26" a="1"/>
  <c r="Q37" i="19" a="1"/>
  <c r="Q33" i="19" a="1"/>
  <c r="Q41" i="19" a="1"/>
  <c r="Q52" i="19" a="1"/>
  <c r="Q21" i="20" a="1"/>
  <c r="Q45" i="21" a="1"/>
  <c r="P24" i="24" a="1"/>
  <c r="Q37" i="9" a="1"/>
  <c r="Q21" i="9" a="1"/>
  <c r="P34" i="29" a="1"/>
  <c r="P18" i="29" a="1"/>
  <c r="P51" i="26" a="1"/>
  <c r="Q53" i="19" a="1"/>
  <c r="P22" i="24" a="1"/>
  <c r="P46" i="29" a="1"/>
  <c r="Q23" i="22" a="1"/>
  <c r="P41" i="28" a="1"/>
  <c r="P54" i="25" a="1"/>
  <c r="P23" i="25" a="1"/>
  <c r="Q29" i="23" a="1"/>
  <c r="Q39" i="21" a="1"/>
  <c r="Q45" i="9" a="1"/>
  <c r="P18" i="26" a="1"/>
  <c r="P30" i="27" a="1"/>
  <c r="Q36" i="20" a="1"/>
  <c r="P30" i="28" a="1"/>
  <c r="Q28" i="23" a="1"/>
  <c r="Q22" i="9" a="1"/>
  <c r="P26" i="26" a="1"/>
  <c r="P18" i="25" a="1"/>
  <c r="Q43" i="23" a="1"/>
  <c r="P15" i="24" a="1"/>
  <c r="P37" i="29" a="1"/>
  <c r="Q36" i="19" a="1"/>
  <c r="Q36" i="19" l="1"/>
  <c r="P37" i="29"/>
  <c r="P15" i="24"/>
  <c r="Q43" i="23"/>
  <c r="P18" i="25"/>
  <c r="P26" i="26"/>
  <c r="Q22" i="9"/>
  <c r="Q28" i="23"/>
  <c r="P30" i="28"/>
  <c r="Q36" i="20"/>
  <c r="P30" i="27"/>
  <c r="P18" i="26"/>
  <c r="Q45" i="9"/>
  <c r="Q39" i="21"/>
  <c r="Q29" i="23"/>
  <c r="P23" i="25"/>
  <c r="P54" i="25"/>
  <c r="P41" i="28"/>
  <c r="Q23" i="22"/>
  <c r="P46" i="29"/>
  <c r="P22" i="24"/>
  <c r="Q53" i="19"/>
  <c r="P51" i="26"/>
  <c r="P18" i="29"/>
  <c r="P34" i="29"/>
  <c r="Q21" i="9"/>
  <c r="Q37" i="9"/>
  <c r="P24" i="24"/>
  <c r="Q45" i="21"/>
  <c r="Q21" i="20"/>
  <c r="Q52" i="19"/>
  <c r="Q41" i="19"/>
  <c r="Q33" i="19"/>
  <c r="Q37" i="19"/>
  <c r="P47" i="26"/>
  <c r="P32" i="26"/>
  <c r="P37" i="26"/>
  <c r="P22" i="29"/>
  <c r="P52" i="29"/>
  <c r="P31" i="29"/>
  <c r="P42" i="29"/>
  <c r="Q31" i="9"/>
  <c r="Q26" i="9"/>
  <c r="Q43" i="9"/>
  <c r="P35" i="24"/>
  <c r="P19" i="24"/>
  <c r="P20" i="24"/>
  <c r="P31" i="24"/>
  <c r="Q31" i="21"/>
  <c r="Q35" i="21"/>
  <c r="Q54" i="21"/>
  <c r="Q34" i="23"/>
  <c r="Q53" i="23"/>
  <c r="Q54" i="23"/>
  <c r="Q42" i="23"/>
  <c r="P53" i="25"/>
  <c r="P17" i="25"/>
  <c r="P36" i="25"/>
  <c r="P52" i="28"/>
  <c r="P35" i="28"/>
  <c r="P54" i="28"/>
  <c r="P53" i="28"/>
  <c r="Q39" i="20"/>
  <c r="Q37" i="20"/>
  <c r="Q25" i="20"/>
  <c r="Q15" i="22"/>
  <c r="Q33" i="22"/>
  <c r="Q41" i="22"/>
  <c r="Q51" i="22"/>
  <c r="P47" i="27"/>
  <c r="P17" i="27"/>
  <c r="P34" i="27"/>
  <c r="P28" i="26"/>
  <c r="P25" i="29"/>
  <c r="P41" i="29"/>
  <c r="P53" i="24"/>
  <c r="Q45" i="23"/>
  <c r="Q29" i="20"/>
  <c r="Q31" i="22"/>
  <c r="P22" i="27"/>
  <c r="P19" i="29"/>
  <c r="P45" i="24"/>
  <c r="Q51" i="21"/>
  <c r="P27" i="25"/>
  <c r="P32" i="28"/>
  <c r="Q22" i="22"/>
  <c r="P23" i="26"/>
  <c r="Q40" i="9"/>
  <c r="P52" i="24"/>
  <c r="P49" i="25"/>
  <c r="Q27" i="20"/>
  <c r="Q20" i="21"/>
  <c r="P36" i="26"/>
  <c r="P16" i="29"/>
  <c r="Q50" i="9"/>
  <c r="P32" i="24"/>
  <c r="Q30" i="21"/>
  <c r="Q24" i="21"/>
  <c r="Q38" i="23"/>
  <c r="P33" i="25"/>
  <c r="P39" i="25"/>
  <c r="P40" i="25"/>
  <c r="Q35" i="20"/>
  <c r="Q25" i="19"/>
  <c r="Q51" i="19"/>
  <c r="Q49" i="19"/>
  <c r="Q47" i="19"/>
  <c r="P19" i="26"/>
  <c r="P50" i="26"/>
  <c r="P39" i="26"/>
  <c r="P24" i="29"/>
  <c r="P27" i="29"/>
  <c r="P50" i="29"/>
  <c r="P33" i="29"/>
  <c r="Q53" i="9"/>
  <c r="Q47" i="9"/>
  <c r="Q36" i="9"/>
  <c r="P39" i="24"/>
  <c r="P34" i="24"/>
  <c r="P50" i="24"/>
  <c r="P29" i="24"/>
  <c r="Q27" i="21"/>
  <c r="Q36" i="21"/>
  <c r="Q40" i="21"/>
  <c r="Q51" i="23"/>
  <c r="Q15" i="23"/>
  <c r="Q21" i="23"/>
  <c r="P30" i="25"/>
  <c r="P20" i="25"/>
  <c r="P31" i="25"/>
  <c r="P16" i="28"/>
  <c r="P40" i="28"/>
  <c r="P20" i="28"/>
  <c r="P15" i="28"/>
  <c r="Q46" i="20"/>
  <c r="Q40" i="20"/>
  <c r="Q33" i="20"/>
  <c r="Q17" i="22"/>
  <c r="Q21" i="22"/>
  <c r="Q42" i="22"/>
  <c r="Q53" i="22"/>
  <c r="P36" i="27"/>
  <c r="P35" i="27"/>
  <c r="P40" i="27"/>
  <c r="P20" i="29"/>
  <c r="P43" i="25"/>
  <c r="Q18" i="23"/>
  <c r="Q22" i="19"/>
  <c r="Q46" i="19"/>
  <c r="P45" i="26"/>
  <c r="P15" i="29"/>
  <c r="P23" i="29"/>
  <c r="P21" i="29"/>
  <c r="Q52" i="9"/>
  <c r="Q24" i="9"/>
  <c r="P44" i="24"/>
  <c r="Q21" i="21"/>
  <c r="Q26" i="23"/>
  <c r="Q47" i="23"/>
  <c r="Q50" i="23"/>
  <c r="P51" i="25"/>
  <c r="P29" i="25"/>
  <c r="P21" i="28"/>
  <c r="P29" i="28"/>
  <c r="P38" i="28"/>
  <c r="P46" i="28"/>
  <c r="Q52" i="20"/>
  <c r="Q19" i="20"/>
  <c r="Q15" i="20"/>
  <c r="Q47" i="22"/>
  <c r="Q49" i="22"/>
  <c r="Q24" i="22"/>
  <c r="Q32" i="22"/>
  <c r="P28" i="27"/>
  <c r="P29" i="27"/>
  <c r="P27" i="27"/>
  <c r="Q15" i="19"/>
  <c r="P35" i="26"/>
  <c r="P41" i="24"/>
  <c r="Q22" i="20"/>
  <c r="Q45" i="22"/>
  <c r="Q42" i="19"/>
  <c r="P29" i="26"/>
  <c r="P30" i="29"/>
  <c r="Q54" i="9"/>
  <c r="P30" i="24"/>
  <c r="Q37" i="23"/>
  <c r="Q24" i="19"/>
  <c r="Q32" i="19"/>
  <c r="P34" i="26"/>
  <c r="P32" i="29"/>
  <c r="Q25" i="9"/>
  <c r="P37" i="24"/>
  <c r="P49" i="24"/>
  <c r="P38" i="24"/>
  <c r="Q41" i="21"/>
  <c r="Q53" i="21"/>
  <c r="Q24" i="23"/>
  <c r="P52" i="25"/>
  <c r="Q35" i="19"/>
  <c r="Q43" i="19"/>
  <c r="Q38" i="19"/>
  <c r="Q27" i="19"/>
  <c r="P49" i="26"/>
  <c r="P24" i="26"/>
  <c r="P25" i="26"/>
  <c r="P54" i="29"/>
  <c r="P49" i="29"/>
  <c r="P28" i="29"/>
  <c r="Q51" i="9"/>
  <c r="Q27" i="9"/>
  <c r="Q34" i="9"/>
  <c r="P46" i="24"/>
  <c r="P28" i="24"/>
  <c r="P48" i="24"/>
  <c r="Q37" i="21"/>
  <c r="Q50" i="21"/>
  <c r="Q31" i="23"/>
  <c r="Q27" i="23"/>
  <c r="Q52" i="23"/>
  <c r="Q17" i="23"/>
  <c r="P48" i="25"/>
  <c r="P24" i="25"/>
  <c r="P21" i="25"/>
  <c r="P28" i="28"/>
  <c r="P25" i="28"/>
  <c r="P19" i="28"/>
  <c r="P36" i="28"/>
  <c r="Q49" i="20"/>
  <c r="Q23" i="20"/>
  <c r="Q43" i="20"/>
  <c r="Q52" i="22"/>
  <c r="Q54" i="22"/>
  <c r="Q40" i="22"/>
  <c r="Q30" i="22"/>
  <c r="P21" i="27"/>
  <c r="P23" i="27"/>
  <c r="P16" i="27"/>
  <c r="Q31" i="19"/>
  <c r="Q18" i="9"/>
  <c r="Q44" i="21"/>
  <c r="P43" i="28"/>
  <c r="P37" i="27"/>
  <c r="Q23" i="19"/>
  <c r="P26" i="24"/>
  <c r="Q32" i="21"/>
  <c r="Q19" i="23"/>
  <c r="P50" i="25"/>
  <c r="P47" i="28"/>
  <c r="Q48" i="20"/>
  <c r="Q37" i="22"/>
  <c r="Q39" i="19"/>
  <c r="P26" i="29"/>
  <c r="Q34" i="21"/>
  <c r="Q32" i="23"/>
  <c r="P19" i="25"/>
  <c r="Q32" i="20"/>
  <c r="P45" i="25"/>
  <c r="Q45" i="20"/>
  <c r="P38" i="26"/>
  <c r="Q19" i="9"/>
  <c r="Q52" i="21"/>
  <c r="Q40" i="23"/>
  <c r="Q24" i="20"/>
  <c r="P43" i="27"/>
  <c r="Q19" i="19"/>
  <c r="P45" i="29"/>
  <c r="P33" i="24"/>
  <c r="P48" i="28"/>
  <c r="Q51" i="20"/>
  <c r="P51" i="27"/>
  <c r="P31" i="26"/>
  <c r="Q35" i="9"/>
  <c r="P16" i="24"/>
  <c r="Q42" i="21"/>
  <c r="P26" i="25"/>
  <c r="Q38" i="22"/>
  <c r="Q45" i="19"/>
  <c r="P17" i="29"/>
  <c r="P44" i="29"/>
  <c r="P48" i="29"/>
  <c r="Q29" i="9"/>
  <c r="Q33" i="9"/>
  <c r="Q20" i="9"/>
  <c r="Q39" i="9"/>
  <c r="P51" i="24"/>
  <c r="P36" i="24"/>
  <c r="P18" i="24"/>
  <c r="Q18" i="21"/>
  <c r="Q49" i="21"/>
  <c r="Q46" i="21"/>
  <c r="Q23" i="21"/>
  <c r="Q16" i="23"/>
  <c r="Q41" i="23"/>
  <c r="Q39" i="23"/>
  <c r="P15" i="25"/>
  <c r="P28" i="25"/>
  <c r="P41" i="25"/>
  <c r="P38" i="25"/>
  <c r="P39" i="28"/>
  <c r="P27" i="28"/>
  <c r="P51" i="28"/>
  <c r="Q53" i="20"/>
  <c r="Q41" i="20"/>
  <c r="Q31" i="20"/>
  <c r="Q38" i="20"/>
  <c r="Q48" i="22"/>
  <c r="Q43" i="22"/>
  <c r="Q36" i="22"/>
  <c r="P19" i="27"/>
  <c r="P39" i="27"/>
  <c r="P50" i="27"/>
  <c r="P42" i="27"/>
  <c r="P21" i="24"/>
  <c r="Q25" i="23"/>
  <c r="P22" i="25"/>
  <c r="P18" i="28"/>
  <c r="Q16" i="22"/>
  <c r="P43" i="29"/>
  <c r="Q40" i="19"/>
  <c r="P53" i="26"/>
  <c r="Q46" i="9"/>
  <c r="P43" i="24"/>
  <c r="Q38" i="21"/>
  <c r="P49" i="28"/>
  <c r="P54" i="27"/>
  <c r="Q34" i="19"/>
  <c r="P53" i="29"/>
  <c r="Q41" i="9"/>
  <c r="Q44" i="9"/>
  <c r="Q30" i="23"/>
  <c r="P32" i="25"/>
  <c r="P45" i="28"/>
  <c r="P42" i="28"/>
  <c r="P50" i="28"/>
  <c r="Q50" i="20"/>
  <c r="Q50" i="22"/>
  <c r="P45" i="27"/>
  <c r="P38" i="27"/>
  <c r="P26" i="27"/>
  <c r="P18" i="27"/>
  <c r="P41" i="26"/>
  <c r="Q44" i="19"/>
  <c r="Q48" i="19"/>
  <c r="Q18" i="19"/>
  <c r="P30" i="26"/>
  <c r="P54" i="26"/>
  <c r="P21" i="26"/>
  <c r="P40" i="26"/>
  <c r="P40" i="29"/>
  <c r="P29" i="29"/>
  <c r="P36" i="29"/>
  <c r="Q38" i="9"/>
  <c r="Q23" i="9"/>
  <c r="Q32" i="9"/>
  <c r="Q28" i="9"/>
  <c r="P17" i="24"/>
  <c r="P47" i="24"/>
  <c r="P40" i="24"/>
  <c r="Q33" i="21"/>
  <c r="Q16" i="21"/>
  <c r="Q26" i="21"/>
  <c r="Q15" i="21"/>
  <c r="Q48" i="23"/>
  <c r="Q22" i="23"/>
  <c r="Q44" i="23"/>
  <c r="P37" i="25"/>
  <c r="P46" i="25"/>
  <c r="P22" i="28"/>
  <c r="P33" i="28"/>
  <c r="P31" i="28"/>
  <c r="Q54" i="20"/>
  <c r="Q20" i="20"/>
  <c r="Q26" i="20"/>
  <c r="Q17" i="20"/>
  <c r="Q34" i="22"/>
  <c r="Q26" i="22"/>
  <c r="Q44" i="22"/>
  <c r="P44" i="27"/>
  <c r="P24" i="27"/>
  <c r="P53" i="27"/>
  <c r="P48" i="27"/>
  <c r="Q28" i="19"/>
  <c r="P44" i="26"/>
  <c r="P54" i="24"/>
  <c r="Q43" i="21"/>
  <c r="P47" i="25"/>
  <c r="P37" i="28"/>
  <c r="Q42" i="20"/>
  <c r="Q20" i="22"/>
  <c r="P32" i="27"/>
  <c r="P33" i="26"/>
  <c r="Q48" i="9"/>
  <c r="Q29" i="21"/>
  <c r="Q46" i="23"/>
  <c r="Q47" i="20"/>
  <c r="Q39" i="22"/>
  <c r="P52" i="27"/>
  <c r="Q54" i="19"/>
  <c r="P20" i="26"/>
  <c r="P35" i="29"/>
  <c r="P25" i="24"/>
  <c r="Q47" i="21"/>
  <c r="Q20" i="23"/>
  <c r="P44" i="25"/>
  <c r="Q34" i="20"/>
  <c r="Q19" i="22"/>
  <c r="Q26" i="19"/>
  <c r="Q16" i="19"/>
  <c r="P15" i="26"/>
  <c r="P17" i="26"/>
  <c r="Q17" i="19"/>
  <c r="Q30" i="19"/>
  <c r="Q20" i="19"/>
  <c r="P43" i="26"/>
  <c r="P22" i="26"/>
  <c r="P27" i="26"/>
  <c r="P16" i="26"/>
  <c r="P38" i="29"/>
  <c r="P47" i="29"/>
  <c r="P39" i="29"/>
  <c r="Q42" i="9"/>
  <c r="Q49" i="9"/>
  <c r="Q17" i="9"/>
  <c r="Q15" i="9"/>
  <c r="P23" i="24"/>
  <c r="P27" i="24"/>
  <c r="P42" i="24"/>
  <c r="Q17" i="21"/>
  <c r="Q25" i="21"/>
  <c r="Q48" i="21"/>
  <c r="Q36" i="23"/>
  <c r="Q49" i="23"/>
  <c r="Q35" i="23"/>
  <c r="P25" i="25"/>
  <c r="P42" i="25"/>
  <c r="P35" i="25"/>
  <c r="P16" i="25"/>
  <c r="P44" i="28"/>
  <c r="P34" i="28"/>
  <c r="Q18" i="20"/>
  <c r="Q28" i="20"/>
  <c r="Q44" i="20"/>
  <c r="Q25" i="22"/>
  <c r="Q28" i="22"/>
  <c r="Q18" i="22"/>
  <c r="P33" i="27"/>
  <c r="P31" i="27"/>
  <c r="P41" i="27"/>
  <c r="P20" i="27"/>
  <c r="Q21" i="19"/>
  <c r="Q22" i="21"/>
  <c r="P26" i="28"/>
  <c r="P51" i="29"/>
  <c r="Q29" i="22"/>
  <c r="Q29" i="19"/>
  <c r="P52" i="26"/>
  <c r="P46" i="26"/>
  <c r="Q16" i="9"/>
  <c r="Q28" i="21"/>
  <c r="Q50" i="19"/>
  <c r="P48" i="26"/>
  <c r="P42" i="26"/>
  <c r="Q30" i="9"/>
  <c r="Q19" i="21"/>
  <c r="Q23" i="23"/>
  <c r="Q33" i="23"/>
  <c r="P34" i="25"/>
  <c r="P23" i="28"/>
  <c r="P17" i="28"/>
  <c r="P24" i="28"/>
  <c r="Q30" i="20"/>
  <c r="Q16" i="20"/>
  <c r="Q27" i="22"/>
  <c r="Q35" i="22"/>
  <c r="Q46" i="22"/>
  <c r="P46" i="27"/>
  <c r="P49" i="27"/>
  <c r="P15" i="27"/>
  <c r="P25" i="27"/>
  <c r="R12" i="19"/>
  <c r="S11" i="19"/>
  <c r="R11" i="27"/>
  <c r="Q12" i="27"/>
  <c r="R11" i="26"/>
  <c r="Q12" i="26"/>
  <c r="R11" i="24"/>
  <c r="Q12" i="24"/>
  <c r="R12" i="23"/>
  <c r="S11" i="23"/>
  <c r="R12" i="20"/>
  <c r="S11" i="20"/>
  <c r="R11" i="25"/>
  <c r="Q12" i="25"/>
  <c r="R12" i="21"/>
  <c r="S11" i="21"/>
  <c r="Q12" i="28"/>
  <c r="R11" i="28"/>
  <c r="R12" i="9"/>
  <c r="S11" i="9"/>
  <c r="S11" i="22"/>
  <c r="R12" i="22"/>
  <c r="R11" i="29"/>
  <c r="Q12" i="29"/>
  <c r="R27" i="19" a="1"/>
  <c r="R43" i="19" a="1"/>
  <c r="R19" i="19" a="1"/>
  <c r="R15" i="19" a="1"/>
  <c r="Q27" i="27" a="1"/>
  <c r="Q46" i="27" a="1"/>
  <c r="Q49" i="27" a="1"/>
  <c r="Q18" i="26" a="1"/>
  <c r="Q34" i="26" a="1"/>
  <c r="Q36" i="26" a="1"/>
  <c r="Q44" i="26" a="1"/>
  <c r="Q15" i="24" a="1"/>
  <c r="Q41" i="24" a="1"/>
  <c r="Q36" i="24" a="1"/>
  <c r="R37" i="23" a="1"/>
  <c r="R39" i="23" a="1"/>
  <c r="R40" i="23" a="1"/>
  <c r="R17" i="20" a="1"/>
  <c r="R28" i="20" a="1"/>
  <c r="R20" i="20" a="1"/>
  <c r="Q48" i="25" a="1"/>
  <c r="Q32" i="25" a="1"/>
  <c r="Q36" i="25" a="1"/>
  <c r="Q21" i="25" a="1"/>
  <c r="R47" i="21" a="1"/>
  <c r="R24" i="21" a="1"/>
  <c r="R52" i="21" a="1"/>
  <c r="Q16" i="28" a="1"/>
  <c r="Q24" i="28" a="1"/>
  <c r="Q32" i="28" a="1"/>
  <c r="Q37" i="28" a="1"/>
  <c r="R20" i="9" a="1"/>
  <c r="R31" i="9" a="1"/>
  <c r="R18" i="9" a="1"/>
  <c r="R30" i="22" a="1"/>
  <c r="R22" i="22" a="1"/>
  <c r="R39" i="22" a="1"/>
  <c r="Q54" i="29" a="1"/>
  <c r="Q24" i="29" a="1"/>
  <c r="Q39" i="29" a="1"/>
  <c r="R50" i="20" a="1"/>
  <c r="R32" i="9" a="1"/>
  <c r="Q35" i="28" a="1"/>
  <c r="R43" i="22" a="1"/>
  <c r="R22" i="19" a="1"/>
  <c r="R50" i="19" a="1"/>
  <c r="R47" i="19" a="1"/>
  <c r="Q39" i="27" a="1"/>
  <c r="Q16" i="27" a="1"/>
  <c r="Q32" i="27" a="1"/>
  <c r="Q40" i="26" a="1"/>
  <c r="Q16" i="26" a="1"/>
  <c r="Q31" i="26" a="1"/>
  <c r="Q27" i="26" a="1"/>
  <c r="Q39" i="24" a="1"/>
  <c r="Q31" i="24" a="1"/>
  <c r="Q48" i="24" a="1"/>
  <c r="R44" i="23" a="1"/>
  <c r="R33" i="23" a="1"/>
  <c r="R23" i="23" a="1"/>
  <c r="R39" i="20" a="1"/>
  <c r="R51" i="20" a="1"/>
  <c r="R52" i="20" a="1"/>
  <c r="Q20" i="25" a="1"/>
  <c r="Q34" i="25" a="1"/>
  <c r="Q22" i="25" a="1"/>
  <c r="R48" i="21" a="1"/>
  <c r="R15" i="21" a="1"/>
  <c r="Q26" i="28" a="1"/>
  <c r="Q39" i="28" a="1"/>
  <c r="Q25" i="28" a="1"/>
  <c r="Q33" i="28" a="1"/>
  <c r="R34" i="9" a="1"/>
  <c r="R52" i="9" a="1"/>
  <c r="R24" i="9" a="1"/>
  <c r="R51" i="22" a="1"/>
  <c r="R37" i="22" a="1"/>
  <c r="R50" i="22" a="1"/>
  <c r="R15" i="22" a="1"/>
  <c r="Q36" i="29" a="1"/>
  <c r="Q15" i="29" a="1"/>
  <c r="Q16" i="25" a="1"/>
  <c r="R36" i="9" a="1"/>
  <c r="R19" i="9" a="1"/>
  <c r="R47" i="22" a="1"/>
  <c r="R25" i="19" a="1"/>
  <c r="R36" i="19" a="1"/>
  <c r="R54" i="19" a="1"/>
  <c r="R31" i="19" a="1"/>
  <c r="Q38" i="27" a="1"/>
  <c r="Q21" i="27" a="1"/>
  <c r="Q41" i="27" a="1"/>
  <c r="Q22" i="26" a="1"/>
  <c r="Q51" i="26" a="1"/>
  <c r="Q43" i="26" a="1"/>
  <c r="Q54" i="26" a="1"/>
  <c r="Q46" i="24" a="1"/>
  <c r="Q35" i="24" a="1"/>
  <c r="R47" i="23" a="1"/>
  <c r="R26" i="23" a="1"/>
  <c r="R29" i="23" a="1"/>
  <c r="R50" i="23" a="1"/>
  <c r="R36" i="20" a="1"/>
  <c r="R18" i="20" a="1"/>
  <c r="R54" i="20" a="1"/>
  <c r="Q18" i="25" a="1"/>
  <c r="Q53" i="25" a="1"/>
  <c r="Q39" i="25" a="1"/>
  <c r="Q26" i="25" a="1"/>
  <c r="R26" i="21" a="1"/>
  <c r="R22" i="21" a="1"/>
  <c r="R41" i="21" a="1"/>
  <c r="Q36" i="28" a="1"/>
  <c r="Q34" i="28" a="1"/>
  <c r="Q51" i="28" a="1"/>
  <c r="Q42" i="28" a="1"/>
  <c r="R53" i="9" a="1"/>
  <c r="R48" i="9" a="1"/>
  <c r="R15" i="9" a="1"/>
  <c r="R20" i="22" a="1"/>
  <c r="R24" i="22" a="1"/>
  <c r="R42" i="22" a="1"/>
  <c r="R26" i="22" a="1"/>
  <c r="Q29" i="29" a="1"/>
  <c r="Q50" i="29" a="1"/>
  <c r="Q48" i="28" a="1"/>
  <c r="R21" i="9" a="1"/>
  <c r="R31" i="22" a="1"/>
  <c r="R38" i="22" a="1"/>
  <c r="Q52" i="29" a="1"/>
  <c r="Q44" i="29" a="1"/>
  <c r="Q27" i="29" a="1"/>
  <c r="Q20" i="29" a="1"/>
  <c r="Q48" i="26" a="1"/>
  <c r="Q38" i="25" a="1"/>
  <c r="R54" i="9" a="1"/>
  <c r="R38" i="21" a="1"/>
  <c r="R52" i="19" a="1"/>
  <c r="R40" i="19" a="1"/>
  <c r="R39" i="19" a="1"/>
  <c r="R48" i="19" a="1"/>
  <c r="Q18" i="27" a="1"/>
  <c r="Q20" i="27" a="1"/>
  <c r="Q35" i="26" a="1"/>
  <c r="Q39" i="26" a="1"/>
  <c r="Q32" i="26" a="1"/>
  <c r="Q19" i="26" a="1"/>
  <c r="Q33" i="24" a="1"/>
  <c r="Q20" i="24" a="1"/>
  <c r="Q47" i="24" a="1"/>
  <c r="R42" i="23" a="1"/>
  <c r="R34" i="23" a="1"/>
  <c r="R52" i="23" a="1"/>
  <c r="R16" i="23" a="1"/>
  <c r="R47" i="20" a="1"/>
  <c r="R27" i="20" a="1"/>
  <c r="Q41" i="25" a="1"/>
  <c r="Q52" i="25" a="1"/>
  <c r="Q44" i="25" a="1"/>
  <c r="Q54" i="25" a="1"/>
  <c r="R49" i="21" a="1"/>
  <c r="R35" i="21" a="1"/>
  <c r="R17" i="21" a="1"/>
  <c r="Q44" i="28" a="1"/>
  <c r="Q29" i="28" a="1"/>
  <c r="Q54" i="28" a="1"/>
  <c r="R23" i="9" a="1"/>
  <c r="R17" i="9" a="1"/>
  <c r="R17" i="22" a="1"/>
  <c r="R33" i="22" a="1"/>
  <c r="Q33" i="29" a="1"/>
  <c r="Q16" i="24" a="1"/>
  <c r="R51" i="23" a="1"/>
  <c r="R16" i="20" a="1"/>
  <c r="R16" i="21" a="1"/>
  <c r="R53" i="22" a="1"/>
  <c r="Q23" i="29" a="1"/>
  <c r="R49" i="9" a="1"/>
  <c r="R32" i="22" a="1"/>
  <c r="R18" i="19" a="1"/>
  <c r="R45" i="19" a="1"/>
  <c r="R49" i="19" a="1"/>
  <c r="R24" i="19" a="1"/>
  <c r="Q44" i="27" a="1"/>
  <c r="Q42" i="27" a="1"/>
  <c r="Q22" i="27" a="1"/>
  <c r="Q23" i="26" a="1"/>
  <c r="Q49" i="26" a="1"/>
  <c r="Q30" i="26" a="1"/>
  <c r="Q45" i="26" a="1"/>
  <c r="Q21" i="24" a="1"/>
  <c r="Q50" i="24" a="1"/>
  <c r="Q51" i="24" a="1"/>
  <c r="R45" i="23" a="1"/>
  <c r="R30" i="23" a="1"/>
  <c r="R21" i="23" a="1"/>
  <c r="R48" i="23" a="1"/>
  <c r="R53" i="20" a="1"/>
  <c r="R34" i="20" a="1"/>
  <c r="R40" i="20" a="1"/>
  <c r="Q28" i="25" a="1"/>
  <c r="Q33" i="25" a="1"/>
  <c r="Q45" i="25" a="1"/>
  <c r="Q23" i="25" a="1"/>
  <c r="R23" i="21" a="1"/>
  <c r="R44" i="21" a="1"/>
  <c r="R20" i="21" a="1"/>
  <c r="Q18" i="28" a="1"/>
  <c r="Q40" i="28" a="1"/>
  <c r="Q45" i="28" a="1"/>
  <c r="Q30" i="28" a="1"/>
  <c r="R29" i="9" a="1"/>
  <c r="R37" i="9" a="1"/>
  <c r="R44" i="9" a="1"/>
  <c r="R35" i="22" a="1"/>
  <c r="R44" i="22" a="1"/>
  <c r="R52" i="22" a="1"/>
  <c r="R19" i="22" a="1"/>
  <c r="Q51" i="29" a="1"/>
  <c r="Q19" i="29" a="1"/>
  <c r="Q16" i="29" a="1"/>
  <c r="Q23" i="28" a="1"/>
  <c r="Q38" i="28" a="1"/>
  <c r="Q22" i="28" a="1"/>
  <c r="R27" i="9" a="1"/>
  <c r="R33" i="9" a="1"/>
  <c r="R29" i="22" a="1"/>
  <c r="R27" i="22" a="1"/>
  <c r="R41" i="22" a="1"/>
  <c r="Q26" i="29" a="1"/>
  <c r="R42" i="21" a="1"/>
  <c r="R37" i="21" a="1"/>
  <c r="R54" i="21" a="1"/>
  <c r="Q20" i="28" a="1"/>
  <c r="R38" i="9" a="1"/>
  <c r="R18" i="22" a="1"/>
  <c r="Q43" i="29" a="1"/>
  <c r="Q32" i="29" a="1"/>
  <c r="R36" i="21" a="1"/>
  <c r="R16" i="9" a="1"/>
  <c r="Q25" i="29" a="1"/>
  <c r="R28" i="19" a="1"/>
  <c r="R30" i="19" a="1"/>
  <c r="R41" i="19" a="1"/>
  <c r="R29" i="19" a="1"/>
  <c r="Q50" i="27" a="1"/>
  <c r="Q19" i="27" a="1"/>
  <c r="Q40" i="27" a="1"/>
  <c r="Q33" i="26" a="1"/>
  <c r="Q26" i="26" a="1"/>
  <c r="Q47" i="26" a="1"/>
  <c r="Q53" i="24" a="1"/>
  <c r="Q44" i="24" a="1"/>
  <c r="Q17" i="24" a="1"/>
  <c r="R41" i="23" a="1"/>
  <c r="R24" i="23" a="1"/>
  <c r="R38" i="23" a="1"/>
  <c r="R28" i="23" a="1"/>
  <c r="R38" i="20" a="1"/>
  <c r="R15" i="20" a="1"/>
  <c r="R41" i="20" a="1"/>
  <c r="Q43" i="25" a="1"/>
  <c r="Q15" i="25" a="1"/>
  <c r="Q42" i="25" a="1"/>
  <c r="Q30" i="25" a="1"/>
  <c r="R39" i="21" a="1"/>
  <c r="R30" i="21" a="1"/>
  <c r="R32" i="21" a="1"/>
  <c r="Q27" i="28" a="1"/>
  <c r="R37" i="19" a="1"/>
  <c r="R46" i="19" a="1"/>
  <c r="R38" i="19" a="1"/>
  <c r="Q52" i="27" a="1"/>
  <c r="Q47" i="27" a="1"/>
  <c r="Q24" i="27" a="1"/>
  <c r="Q15" i="27" a="1"/>
  <c r="Q42" i="26" a="1"/>
  <c r="Q37" i="26" a="1"/>
  <c r="Q50" i="26" a="1"/>
  <c r="Q43" i="24" a="1"/>
  <c r="Q34" i="24" a="1"/>
  <c r="Q19" i="24" a="1"/>
  <c r="Q32" i="24" a="1"/>
  <c r="R22" i="23" a="1"/>
  <c r="R31" i="23" a="1"/>
  <c r="R35" i="23" a="1"/>
  <c r="R46" i="20" a="1"/>
  <c r="R35" i="20" a="1"/>
  <c r="R44" i="20" a="1"/>
  <c r="R29" i="20" a="1"/>
  <c r="Q47" i="25" a="1"/>
  <c r="Q25" i="25" a="1"/>
  <c r="Q17" i="25" a="1"/>
  <c r="R40" i="21" a="1"/>
  <c r="R45" i="21" a="1"/>
  <c r="R19" i="21" a="1"/>
  <c r="R53" i="21" a="1"/>
  <c r="Q41" i="28" a="1"/>
  <c r="Q53" i="28" a="1"/>
  <c r="Q28" i="28" a="1"/>
  <c r="R51" i="9" a="1"/>
  <c r="R35" i="9" a="1"/>
  <c r="R42" i="9" a="1"/>
  <c r="R41" i="9" a="1"/>
  <c r="R23" i="22" a="1"/>
  <c r="R48" i="22" a="1"/>
  <c r="R46" i="22" a="1"/>
  <c r="Q46" i="29" a="1"/>
  <c r="Q37" i="29" a="1"/>
  <c r="Q45" i="29" a="1"/>
  <c r="Q28" i="29" a="1"/>
  <c r="Q17" i="27" a="1"/>
  <c r="Q29" i="27" a="1"/>
  <c r="Q53" i="26" a="1"/>
  <c r="Q49" i="24" a="1"/>
  <c r="R32" i="23" a="1"/>
  <c r="R49" i="20" a="1"/>
  <c r="Q46" i="25" a="1"/>
  <c r="Q19" i="28" a="1"/>
  <c r="R40" i="22" a="1"/>
  <c r="Q18" i="29" a="1"/>
  <c r="Q49" i="28" a="1"/>
  <c r="R51" i="19" a="1"/>
  <c r="R35" i="19" a="1"/>
  <c r="R21" i="19" a="1"/>
  <c r="Q25" i="27" a="1"/>
  <c r="Q36" i="27" a="1"/>
  <c r="Q48" i="27" a="1"/>
  <c r="Q38" i="26" a="1"/>
  <c r="Q29" i="26" a="1"/>
  <c r="Q25" i="26" a="1"/>
  <c r="Q38" i="24" a="1"/>
  <c r="Q45" i="24" a="1"/>
  <c r="Q23" i="24" a="1"/>
  <c r="Q37" i="24" a="1"/>
  <c r="R36" i="23" a="1"/>
  <c r="R18" i="23" a="1"/>
  <c r="R20" i="23" a="1"/>
  <c r="R19" i="20" a="1"/>
  <c r="R43" i="20" a="1"/>
  <c r="R23" i="20" a="1"/>
  <c r="R24" i="20" a="1"/>
  <c r="Q35" i="25" a="1"/>
  <c r="Q29" i="25" a="1"/>
  <c r="Q37" i="25" a="1"/>
  <c r="R50" i="21" a="1"/>
  <c r="R28" i="21" a="1"/>
  <c r="R27" i="21" a="1"/>
  <c r="Q52" i="28" a="1"/>
  <c r="Q17" i="28" a="1"/>
  <c r="R43" i="9" a="1"/>
  <c r="R28" i="9" a="1"/>
  <c r="R39" i="9" a="1"/>
  <c r="R26" i="9" a="1"/>
  <c r="R36" i="22" a="1"/>
  <c r="R25" i="22" a="1"/>
  <c r="R45" i="22" a="1"/>
  <c r="Q48" i="29" a="1"/>
  <c r="Q34" i="29" a="1"/>
  <c r="Q47" i="29" a="1"/>
  <c r="Q53" i="29" a="1"/>
  <c r="R26" i="19" a="1"/>
  <c r="Q37" i="27" a="1"/>
  <c r="R44" i="19" a="1"/>
  <c r="R17" i="19" a="1"/>
  <c r="R42" i="19" a="1"/>
  <c r="Q28" i="27" a="1"/>
  <c r="Q54" i="27" a="1"/>
  <c r="Q33" i="27" a="1"/>
  <c r="Q34" i="27" a="1"/>
  <c r="Q41" i="26" a="1"/>
  <c r="Q21" i="26" a="1"/>
  <c r="Q15" i="26" a="1"/>
  <c r="Q25" i="24" a="1"/>
  <c r="Q26" i="24" a="1"/>
  <c r="Q30" i="24" a="1"/>
  <c r="Q28" i="24" a="1"/>
  <c r="R25" i="23" a="1"/>
  <c r="R17" i="23" a="1"/>
  <c r="R19" i="23" a="1"/>
  <c r="R22" i="20" a="1"/>
  <c r="R42" i="20" a="1"/>
  <c r="R26" i="20" a="1"/>
  <c r="R21" i="20" a="1"/>
  <c r="Q49" i="25" a="1"/>
  <c r="Q51" i="25" a="1"/>
  <c r="R31" i="21" a="1"/>
  <c r="R21" i="21" a="1"/>
  <c r="R46" i="21" a="1"/>
  <c r="R33" i="21" a="1"/>
  <c r="Q46" i="28" a="1"/>
  <c r="Q15" i="28" a="1"/>
  <c r="Q31" i="28" a="1"/>
  <c r="R50" i="9" a="1"/>
  <c r="R40" i="9" a="1"/>
  <c r="R30" i="9" a="1"/>
  <c r="R45" i="9" a="1"/>
  <c r="R28" i="22" a="1"/>
  <c r="R16" i="22" a="1"/>
  <c r="R21" i="22" a="1"/>
  <c r="Q35" i="29" a="1"/>
  <c r="Q41" i="29" a="1"/>
  <c r="Q21" i="29" a="1"/>
  <c r="Q40" i="29" a="1"/>
  <c r="R23" i="19" a="1"/>
  <c r="R32" i="19" a="1"/>
  <c r="Q31" i="27" a="1"/>
  <c r="Q24" i="26" a="1"/>
  <c r="Q22" i="24" a="1"/>
  <c r="Q40" i="24" a="1"/>
  <c r="R49" i="23" a="1"/>
  <c r="R30" i="20" a="1"/>
  <c r="Q47" i="28" a="1"/>
  <c r="R34" i="19" a="1"/>
  <c r="R16" i="19" a="1"/>
  <c r="Q45" i="27" a="1"/>
  <c r="Q35" i="27" a="1"/>
  <c r="Q51" i="27" a="1"/>
  <c r="Q53" i="27" a="1"/>
  <c r="Q28" i="26" a="1"/>
  <c r="Q20" i="26" a="1"/>
  <c r="Q42" i="24" a="1"/>
  <c r="Q24" i="24" a="1"/>
  <c r="Q27" i="24" a="1"/>
  <c r="Q18" i="24" a="1"/>
  <c r="R54" i="23" a="1"/>
  <c r="R27" i="23" a="1"/>
  <c r="R46" i="23" a="1"/>
  <c r="R32" i="20" a="1"/>
  <c r="R37" i="20" a="1"/>
  <c r="R31" i="20" a="1"/>
  <c r="R45" i="20" a="1"/>
  <c r="Q27" i="25" a="1"/>
  <c r="Q24" i="25" a="1"/>
  <c r="Q19" i="25" a="1"/>
  <c r="R25" i="21" a="1"/>
  <c r="R18" i="21" a="1"/>
  <c r="R51" i="21" a="1"/>
  <c r="R43" i="21" a="1"/>
  <c r="Q50" i="28" a="1"/>
  <c r="Q43" i="28" a="1"/>
  <c r="Q21" i="28" a="1"/>
  <c r="R25" i="9" a="1"/>
  <c r="R46" i="9" a="1"/>
  <c r="R47" i="9" a="1"/>
  <c r="R22" i="9" a="1"/>
  <c r="R54" i="22" a="1"/>
  <c r="R49" i="22" a="1"/>
  <c r="R34" i="22" a="1"/>
  <c r="Q17" i="29" a="1"/>
  <c r="Q38" i="29" a="1"/>
  <c r="Q30" i="29" a="1"/>
  <c r="Q31" i="29" a="1"/>
  <c r="R33" i="19" a="1"/>
  <c r="R53" i="19" a="1"/>
  <c r="Q23" i="27" a="1"/>
  <c r="Q43" i="27" a="1"/>
  <c r="Q30" i="27" a="1"/>
  <c r="Q26" i="27" a="1"/>
  <c r="Q46" i="26" a="1"/>
  <c r="Q52" i="26" a="1"/>
  <c r="Q52" i="24" a="1"/>
  <c r="Q29" i="24" a="1"/>
  <c r="Q54" i="24" a="1"/>
  <c r="R43" i="23" a="1"/>
  <c r="R15" i="23" a="1"/>
  <c r="R53" i="23" a="1"/>
  <c r="R25" i="20" a="1"/>
  <c r="R33" i="20" a="1"/>
  <c r="Q50" i="25" a="1"/>
  <c r="Q40" i="25" a="1"/>
  <c r="R29" i="21" a="1"/>
  <c r="Q22" i="29" a="1"/>
  <c r="Q42" i="29" a="1"/>
  <c r="Q49" i="29" a="1"/>
  <c r="R20" i="19" a="1"/>
  <c r="Q17" i="26" a="1"/>
  <c r="R48" i="20" a="1"/>
  <c r="Q31" i="25" a="1"/>
  <c r="R34" i="21" a="1"/>
  <c r="R34" i="21" l="1"/>
  <c r="Q31" i="25"/>
  <c r="R48" i="20"/>
  <c r="Q17" i="26"/>
  <c r="R20" i="19"/>
  <c r="Q49" i="29"/>
  <c r="Q42" i="29"/>
  <c r="Q22" i="29"/>
  <c r="R29" i="21"/>
  <c r="Q40" i="25"/>
  <c r="Q50" i="25"/>
  <c r="R33" i="20"/>
  <c r="R25" i="20"/>
  <c r="R53" i="23"/>
  <c r="R15" i="23"/>
  <c r="R43" i="23"/>
  <c r="Q54" i="24"/>
  <c r="Q29" i="24"/>
  <c r="Q52" i="24"/>
  <c r="Q52" i="26"/>
  <c r="Q46" i="26"/>
  <c r="Q26" i="27"/>
  <c r="Q30" i="27"/>
  <c r="Q43" i="27"/>
  <c r="Q23" i="27"/>
  <c r="R53" i="19"/>
  <c r="R33" i="19"/>
  <c r="Q31" i="29"/>
  <c r="Q30" i="29"/>
  <c r="Q38" i="29"/>
  <c r="Q17" i="29"/>
  <c r="R34" i="22"/>
  <c r="R49" i="22"/>
  <c r="R54" i="22"/>
  <c r="R22" i="9"/>
  <c r="R47" i="9"/>
  <c r="R46" i="9"/>
  <c r="R25" i="9"/>
  <c r="Q21" i="28"/>
  <c r="Q43" i="28"/>
  <c r="Q50" i="28"/>
  <c r="R43" i="21"/>
  <c r="R51" i="21"/>
  <c r="R18" i="21"/>
  <c r="R25" i="21"/>
  <c r="Q19" i="25"/>
  <c r="Q24" i="25"/>
  <c r="Q27" i="25"/>
  <c r="R45" i="20"/>
  <c r="R31" i="20"/>
  <c r="R37" i="20"/>
  <c r="R32" i="20"/>
  <c r="R46" i="23"/>
  <c r="R27" i="23"/>
  <c r="R54" i="23"/>
  <c r="Q18" i="24"/>
  <c r="Q27" i="24"/>
  <c r="Q24" i="24"/>
  <c r="Q42" i="24"/>
  <c r="Q20" i="26"/>
  <c r="Q28" i="26"/>
  <c r="Q53" i="27"/>
  <c r="Q51" i="27"/>
  <c r="Q35" i="27"/>
  <c r="Q45" i="27"/>
  <c r="R16" i="19"/>
  <c r="R34" i="19"/>
  <c r="Q47" i="28"/>
  <c r="R30" i="20"/>
  <c r="R49" i="23"/>
  <c r="Q40" i="24"/>
  <c r="Q22" i="24"/>
  <c r="Q24" i="26"/>
  <c r="Q31" i="27"/>
  <c r="R32" i="19"/>
  <c r="R23" i="19"/>
  <c r="Q40" i="29"/>
  <c r="Q21" i="29"/>
  <c r="Q41" i="29"/>
  <c r="Q35" i="29"/>
  <c r="R21" i="22"/>
  <c r="R16" i="22"/>
  <c r="R28" i="22"/>
  <c r="R45" i="9"/>
  <c r="R30" i="9"/>
  <c r="R40" i="9"/>
  <c r="R50" i="9"/>
  <c r="Q31" i="28"/>
  <c r="Q15" i="28"/>
  <c r="Q46" i="28"/>
  <c r="R33" i="21"/>
  <c r="R46" i="21"/>
  <c r="R21" i="21"/>
  <c r="R31" i="21"/>
  <c r="Q51" i="25"/>
  <c r="Q49" i="25"/>
  <c r="R21" i="20"/>
  <c r="R26" i="20"/>
  <c r="R42" i="20"/>
  <c r="R22" i="20"/>
  <c r="R19" i="23"/>
  <c r="R17" i="23"/>
  <c r="R25" i="23"/>
  <c r="Q28" i="24"/>
  <c r="Q30" i="24"/>
  <c r="Q26" i="24"/>
  <c r="Q25" i="24"/>
  <c r="Q15" i="26"/>
  <c r="Q21" i="26"/>
  <c r="Q41" i="26"/>
  <c r="Q34" i="27"/>
  <c r="Q33" i="27"/>
  <c r="Q54" i="27"/>
  <c r="Q28" i="27"/>
  <c r="R42" i="19"/>
  <c r="R17" i="19"/>
  <c r="R44" i="19"/>
  <c r="Q37" i="27"/>
  <c r="R26" i="19"/>
  <c r="Q53" i="29"/>
  <c r="Q47" i="29"/>
  <c r="Q34" i="29"/>
  <c r="Q48" i="29"/>
  <c r="R45" i="22"/>
  <c r="R25" i="22"/>
  <c r="R36" i="22"/>
  <c r="R26" i="9"/>
  <c r="R39" i="9"/>
  <c r="R28" i="9"/>
  <c r="R43" i="9"/>
  <c r="Q17" i="28"/>
  <c r="Q52" i="28"/>
  <c r="R27" i="21"/>
  <c r="R28" i="21"/>
  <c r="R50" i="21"/>
  <c r="Q37" i="25"/>
  <c r="Q29" i="25"/>
  <c r="Q35" i="25"/>
  <c r="R24" i="20"/>
  <c r="R23" i="20"/>
  <c r="R43" i="20"/>
  <c r="R19" i="20"/>
  <c r="R20" i="23"/>
  <c r="R18" i="23"/>
  <c r="R36" i="23"/>
  <c r="Q37" i="24"/>
  <c r="Q23" i="24"/>
  <c r="Q45" i="24"/>
  <c r="Q38" i="24"/>
  <c r="Q25" i="26"/>
  <c r="Q29" i="26"/>
  <c r="Q38" i="26"/>
  <c r="Q48" i="27"/>
  <c r="Q36" i="27"/>
  <c r="Q25" i="27"/>
  <c r="R21" i="19"/>
  <c r="R35" i="19"/>
  <c r="R51" i="19"/>
  <c r="Q49" i="28"/>
  <c r="Q18" i="29"/>
  <c r="R40" i="22"/>
  <c r="Q19" i="28"/>
  <c r="Q46" i="25"/>
  <c r="R49" i="20"/>
  <c r="R32" i="23"/>
  <c r="Q49" i="24"/>
  <c r="Q53" i="26"/>
  <c r="Q29" i="27"/>
  <c r="Q17" i="27"/>
  <c r="Q28" i="29"/>
  <c r="Q45" i="29"/>
  <c r="Q37" i="29"/>
  <c r="Q46" i="29"/>
  <c r="R46" i="22"/>
  <c r="R48" i="22"/>
  <c r="R23" i="22"/>
  <c r="R41" i="9"/>
  <c r="R42" i="9"/>
  <c r="R35" i="9"/>
  <c r="R51" i="9"/>
  <c r="Q28" i="28"/>
  <c r="Q53" i="28"/>
  <c r="Q41" i="28"/>
  <c r="R53" i="21"/>
  <c r="R19" i="21"/>
  <c r="R45" i="21"/>
  <c r="R40" i="21"/>
  <c r="Q17" i="25"/>
  <c r="Q25" i="25"/>
  <c r="Q47" i="25"/>
  <c r="R29" i="20"/>
  <c r="R44" i="20"/>
  <c r="R35" i="20"/>
  <c r="R46" i="20"/>
  <c r="R35" i="23"/>
  <c r="R31" i="23"/>
  <c r="R22" i="23"/>
  <c r="Q32" i="24"/>
  <c r="Q19" i="24"/>
  <c r="Q34" i="24"/>
  <c r="Q43" i="24"/>
  <c r="Q50" i="26"/>
  <c r="Q37" i="26"/>
  <c r="Q42" i="26"/>
  <c r="Q15" i="27"/>
  <c r="Q24" i="27"/>
  <c r="Q47" i="27"/>
  <c r="Q52" i="27"/>
  <c r="R38" i="19"/>
  <c r="R46" i="19"/>
  <c r="R37" i="19"/>
  <c r="Q27" i="28"/>
  <c r="R32" i="21"/>
  <c r="R30" i="21"/>
  <c r="R39" i="21"/>
  <c r="Q30" i="25"/>
  <c r="Q42" i="25"/>
  <c r="Q15" i="25"/>
  <c r="Q43" i="25"/>
  <c r="R41" i="20"/>
  <c r="R15" i="20"/>
  <c r="R38" i="20"/>
  <c r="R28" i="23"/>
  <c r="R38" i="23"/>
  <c r="R24" i="23"/>
  <c r="R41" i="23"/>
  <c r="Q17" i="24"/>
  <c r="Q44" i="24"/>
  <c r="Q53" i="24"/>
  <c r="Q47" i="26"/>
  <c r="Q26" i="26"/>
  <c r="Q33" i="26"/>
  <c r="Q40" i="27"/>
  <c r="Q19" i="27"/>
  <c r="Q50" i="27"/>
  <c r="R29" i="19"/>
  <c r="R41" i="19"/>
  <c r="R30" i="19"/>
  <c r="R28" i="19"/>
  <c r="Q25" i="29"/>
  <c r="R16" i="9"/>
  <c r="R36" i="21"/>
  <c r="Q32" i="29"/>
  <c r="Q43" i="29"/>
  <c r="R18" i="22"/>
  <c r="R38" i="9"/>
  <c r="Q20" i="28"/>
  <c r="R54" i="21"/>
  <c r="R37" i="21"/>
  <c r="R42" i="21"/>
  <c r="Q26" i="29"/>
  <c r="R41" i="22"/>
  <c r="R27" i="22"/>
  <c r="R29" i="22"/>
  <c r="R33" i="9"/>
  <c r="R27" i="9"/>
  <c r="Q22" i="28"/>
  <c r="Q38" i="28"/>
  <c r="Q23" i="28"/>
  <c r="Q16" i="29"/>
  <c r="Q19" i="29"/>
  <c r="Q51" i="29"/>
  <c r="R19" i="22"/>
  <c r="R52" i="22"/>
  <c r="R44" i="22"/>
  <c r="R35" i="22"/>
  <c r="R44" i="9"/>
  <c r="R37" i="9"/>
  <c r="R29" i="9"/>
  <c r="Q30" i="28"/>
  <c r="Q45" i="28"/>
  <c r="Q40" i="28"/>
  <c r="Q18" i="28"/>
  <c r="R20" i="21"/>
  <c r="R44" i="21"/>
  <c r="R23" i="21"/>
  <c r="Q23" i="25"/>
  <c r="Q45" i="25"/>
  <c r="Q33" i="25"/>
  <c r="Q28" i="25"/>
  <c r="R40" i="20"/>
  <c r="R34" i="20"/>
  <c r="R53" i="20"/>
  <c r="R48" i="23"/>
  <c r="R21" i="23"/>
  <c r="R30" i="23"/>
  <c r="R45" i="23"/>
  <c r="Q51" i="24"/>
  <c r="Q50" i="24"/>
  <c r="Q21" i="24"/>
  <c r="Q45" i="26"/>
  <c r="Q30" i="26"/>
  <c r="Q49" i="26"/>
  <c r="Q23" i="26"/>
  <c r="Q22" i="27"/>
  <c r="Q42" i="27"/>
  <c r="Q44" i="27"/>
  <c r="R24" i="19"/>
  <c r="R49" i="19"/>
  <c r="R45" i="19"/>
  <c r="R18" i="19"/>
  <c r="R32" i="22"/>
  <c r="R49" i="9"/>
  <c r="Q23" i="29"/>
  <c r="R53" i="22"/>
  <c r="R16" i="21"/>
  <c r="R16" i="20"/>
  <c r="R51" i="23"/>
  <c r="Q16" i="24"/>
  <c r="Q33" i="29"/>
  <c r="R33" i="22"/>
  <c r="R17" i="22"/>
  <c r="R17" i="9"/>
  <c r="R23" i="9"/>
  <c r="Q54" i="28"/>
  <c r="Q29" i="28"/>
  <c r="Q44" i="28"/>
  <c r="R17" i="21"/>
  <c r="R35" i="21"/>
  <c r="R49" i="21"/>
  <c r="Q54" i="25"/>
  <c r="Q44" i="25"/>
  <c r="Q52" i="25"/>
  <c r="Q41" i="25"/>
  <c r="R27" i="20"/>
  <c r="R47" i="20"/>
  <c r="R16" i="23"/>
  <c r="R52" i="23"/>
  <c r="R34" i="23"/>
  <c r="R42" i="23"/>
  <c r="Q47" i="24"/>
  <c r="Q20" i="24"/>
  <c r="Q33" i="24"/>
  <c r="Q19" i="26"/>
  <c r="Q32" i="26"/>
  <c r="Q39" i="26"/>
  <c r="Q35" i="26"/>
  <c r="Q20" i="27"/>
  <c r="Q18" i="27"/>
  <c r="R48" i="19"/>
  <c r="R39" i="19"/>
  <c r="R40" i="19"/>
  <c r="R52" i="19"/>
  <c r="R38" i="21"/>
  <c r="R54" i="9"/>
  <c r="Q38" i="25"/>
  <c r="Q48" i="26"/>
  <c r="Q20" i="29"/>
  <c r="Q27" i="29"/>
  <c r="Q44" i="29"/>
  <c r="Q52" i="29"/>
  <c r="R38" i="22"/>
  <c r="R31" i="22"/>
  <c r="R21" i="9"/>
  <c r="Q48" i="28"/>
  <c r="Q50" i="29"/>
  <c r="Q29" i="29"/>
  <c r="R26" i="22"/>
  <c r="R42" i="22"/>
  <c r="R24" i="22"/>
  <c r="R20" i="22"/>
  <c r="R15" i="9"/>
  <c r="R48" i="9"/>
  <c r="R53" i="9"/>
  <c r="Q42" i="28"/>
  <c r="Q51" i="28"/>
  <c r="Q34" i="28"/>
  <c r="Q36" i="28"/>
  <c r="R41" i="21"/>
  <c r="R22" i="21"/>
  <c r="R26" i="21"/>
  <c r="Q26" i="25"/>
  <c r="Q39" i="25"/>
  <c r="Q53" i="25"/>
  <c r="Q18" i="25"/>
  <c r="R54" i="20"/>
  <c r="R18" i="20"/>
  <c r="R36" i="20"/>
  <c r="R50" i="23"/>
  <c r="R29" i="23"/>
  <c r="R26" i="23"/>
  <c r="R47" i="23"/>
  <c r="Q35" i="24"/>
  <c r="Q46" i="24"/>
  <c r="Q54" i="26"/>
  <c r="Q43" i="26"/>
  <c r="Q51" i="26"/>
  <c r="Q22" i="26"/>
  <c r="Q41" i="27"/>
  <c r="Q21" i="27"/>
  <c r="Q38" i="27"/>
  <c r="R31" i="19"/>
  <c r="R54" i="19"/>
  <c r="R36" i="19"/>
  <c r="R25" i="19"/>
  <c r="R47" i="22"/>
  <c r="R19" i="9"/>
  <c r="R36" i="9"/>
  <c r="Q16" i="25"/>
  <c r="Q15" i="29"/>
  <c r="Q36" i="29"/>
  <c r="R15" i="22"/>
  <c r="R50" i="22"/>
  <c r="R37" i="22"/>
  <c r="R51" i="22"/>
  <c r="R24" i="9"/>
  <c r="R52" i="9"/>
  <c r="R34" i="9"/>
  <c r="Q33" i="28"/>
  <c r="Q25" i="28"/>
  <c r="Q39" i="28"/>
  <c r="Q26" i="28"/>
  <c r="R15" i="21"/>
  <c r="R48" i="21"/>
  <c r="Q22" i="25"/>
  <c r="Q34" i="25"/>
  <c r="Q20" i="25"/>
  <c r="R52" i="20"/>
  <c r="R51" i="20"/>
  <c r="R39" i="20"/>
  <c r="R23" i="23"/>
  <c r="R33" i="23"/>
  <c r="R44" i="23"/>
  <c r="Q48" i="24"/>
  <c r="Q31" i="24"/>
  <c r="Q39" i="24"/>
  <c r="Q27" i="26"/>
  <c r="Q31" i="26"/>
  <c r="Q16" i="26"/>
  <c r="Q40" i="26"/>
  <c r="Q32" i="27"/>
  <c r="Q16" i="27"/>
  <c r="Q39" i="27"/>
  <c r="R47" i="19"/>
  <c r="R50" i="19"/>
  <c r="R22" i="19"/>
  <c r="R43" i="22"/>
  <c r="Q35" i="28"/>
  <c r="R32" i="9"/>
  <c r="R50" i="20"/>
  <c r="Q39" i="29"/>
  <c r="Q24" i="29"/>
  <c r="Q54" i="29"/>
  <c r="R39" i="22"/>
  <c r="R22" i="22"/>
  <c r="R30" i="22"/>
  <c r="R18" i="9"/>
  <c r="R31" i="9"/>
  <c r="R20" i="9"/>
  <c r="Q37" i="28"/>
  <c r="Q32" i="28"/>
  <c r="Q24" i="28"/>
  <c r="Q16" i="28"/>
  <c r="R52" i="21"/>
  <c r="R24" i="21"/>
  <c r="R47" i="21"/>
  <c r="Q21" i="25"/>
  <c r="Q36" i="25"/>
  <c r="Q32" i="25"/>
  <c r="Q48" i="25"/>
  <c r="R20" i="20"/>
  <c r="R28" i="20"/>
  <c r="R17" i="20"/>
  <c r="R40" i="23"/>
  <c r="R39" i="23"/>
  <c r="R37" i="23"/>
  <c r="Q36" i="24"/>
  <c r="Q41" i="24"/>
  <c r="Q15" i="24"/>
  <c r="Q44" i="26"/>
  <c r="Q36" i="26"/>
  <c r="Q34" i="26"/>
  <c r="Q18" i="26"/>
  <c r="Q49" i="27"/>
  <c r="Q46" i="27"/>
  <c r="Q27" i="27"/>
  <c r="R15" i="19"/>
  <c r="R19" i="19"/>
  <c r="R43" i="19"/>
  <c r="R27" i="19"/>
  <c r="S11" i="28"/>
  <c r="R12" i="28"/>
  <c r="S11" i="24"/>
  <c r="R12" i="24"/>
  <c r="S11" i="25"/>
  <c r="R12" i="25"/>
  <c r="S12" i="21"/>
  <c r="T11" i="21"/>
  <c r="S11" i="26"/>
  <c r="R12" i="26"/>
  <c r="S12" i="20"/>
  <c r="T11" i="20"/>
  <c r="S11" i="27"/>
  <c r="R12" i="27"/>
  <c r="S12" i="9"/>
  <c r="T11" i="9"/>
  <c r="S12" i="23"/>
  <c r="T11" i="23"/>
  <c r="T11" i="19"/>
  <c r="S12" i="19"/>
  <c r="R12" i="29"/>
  <c r="S11" i="29"/>
  <c r="S12" i="22"/>
  <c r="T11" i="22"/>
  <c r="R41" i="28" a="1"/>
  <c r="R33" i="25" a="1"/>
  <c r="S42" i="21" a="1"/>
  <c r="R26" i="26" a="1"/>
  <c r="S51" i="20" a="1"/>
  <c r="R27" i="27" a="1"/>
  <c r="R18" i="27" a="1"/>
  <c r="S33" i="9" a="1"/>
  <c r="S23" i="9" a="1"/>
  <c r="S31" i="9" a="1"/>
  <c r="S38" i="23" a="1"/>
  <c r="S40" i="23" a="1"/>
  <c r="S53" i="19" a="1"/>
  <c r="S32" i="19" a="1"/>
  <c r="R39" i="29" a="1"/>
  <c r="S23" i="21" a="1"/>
  <c r="R51" i="26" a="1"/>
  <c r="S53" i="20" a="1"/>
  <c r="R48" i="27" a="1"/>
  <c r="R34" i="27" a="1"/>
  <c r="S46" i="9" a="1"/>
  <c r="R35" i="28" a="1"/>
  <c r="R48" i="25" a="1"/>
  <c r="S43" i="21" a="1"/>
  <c r="R32" i="27" a="1"/>
  <c r="S42" i="23" a="1"/>
  <c r="S34" i="19" a="1"/>
  <c r="R28" i="29" a="1"/>
  <c r="S15" i="19" a="1"/>
  <c r="R27" i="29" a="1"/>
  <c r="R16" i="27" a="1"/>
  <c r="S47" i="19" a="1"/>
  <c r="R15" i="28" a="1"/>
  <c r="R29" i="28" a="1"/>
  <c r="R30" i="28" a="1"/>
  <c r="R52" i="28" a="1"/>
  <c r="R18" i="24" a="1"/>
  <c r="R41" i="24" a="1"/>
  <c r="R31" i="24" a="1"/>
  <c r="R51" i="25" a="1"/>
  <c r="R31" i="25" a="1"/>
  <c r="R22" i="26" a="1"/>
  <c r="R44" i="27" a="1"/>
  <c r="S34" i="9" a="1"/>
  <c r="S25" i="23" a="1"/>
  <c r="S22" i="23" a="1"/>
  <c r="S30" i="19" a="1"/>
  <c r="R33" i="29" a="1"/>
  <c r="S47" i="22" a="1"/>
  <c r="R46" i="24" a="1"/>
  <c r="R54" i="25" a="1"/>
  <c r="S21" i="20" a="1"/>
  <c r="S23" i="23" a="1"/>
  <c r="R38" i="29" a="1"/>
  <c r="S49" i="22" a="1"/>
  <c r="S53" i="23" a="1"/>
  <c r="R38" i="27" a="1"/>
  <c r="S28" i="9" a="1"/>
  <c r="S26" i="19" a="1"/>
  <c r="R29" i="29" a="1"/>
  <c r="R50" i="28" a="1"/>
  <c r="R23" i="28" a="1"/>
  <c r="R21" i="28" a="1"/>
  <c r="R28" i="28" a="1"/>
  <c r="R45" i="24" a="1"/>
  <c r="R26" i="24" a="1"/>
  <c r="R37" i="25" a="1"/>
  <c r="R44" i="25" a="1"/>
  <c r="R50" i="25" a="1"/>
  <c r="R41" i="25" a="1"/>
  <c r="S47" i="21" a="1"/>
  <c r="S37" i="21" a="1"/>
  <c r="S51" i="21" a="1"/>
  <c r="R33" i="26" a="1"/>
  <c r="R41" i="26" a="1"/>
  <c r="R16" i="26" a="1"/>
  <c r="R27" i="26" a="1"/>
  <c r="S41" i="20" a="1"/>
  <c r="S26" i="20" a="1"/>
  <c r="S33" i="20" a="1"/>
  <c r="R23" i="27" a="1"/>
  <c r="R24" i="27" a="1"/>
  <c r="R40" i="27" a="1"/>
  <c r="R21" i="27" a="1"/>
  <c r="S37" i="9" a="1"/>
  <c r="S43" i="9" a="1"/>
  <c r="S24" i="9" a="1"/>
  <c r="S46" i="23" a="1"/>
  <c r="S54" i="23" a="1"/>
  <c r="S43" i="23" a="1"/>
  <c r="S48" i="23" a="1"/>
  <c r="S24" i="19" a="1"/>
  <c r="S27" i="19" a="1"/>
  <c r="S18" i="19" a="1"/>
  <c r="R42" i="29" a="1"/>
  <c r="R21" i="29" a="1"/>
  <c r="R35" i="29" a="1"/>
  <c r="S51" i="22" a="1"/>
  <c r="S22" i="22" a="1"/>
  <c r="S34" i="22" a="1"/>
  <c r="S34" i="23" a="1"/>
  <c r="S38" i="19" a="1"/>
  <c r="R26" i="29" a="1"/>
  <c r="R30" i="29" a="1"/>
  <c r="R40" i="29" a="1"/>
  <c r="S39" i="22" a="1"/>
  <c r="S41" i="22" a="1"/>
  <c r="R44" i="28" a="1"/>
  <c r="R36" i="24" a="1"/>
  <c r="R45" i="26" a="1"/>
  <c r="R35" i="27" a="1"/>
  <c r="R30" i="27" a="1"/>
  <c r="S52" i="9" a="1"/>
  <c r="R31" i="29" a="1"/>
  <c r="S19" i="22" a="1"/>
  <c r="S32" i="23" a="1"/>
  <c r="S17" i="19" a="1"/>
  <c r="R52" i="29" a="1"/>
  <c r="R45" i="29" a="1"/>
  <c r="S38" i="22" a="1"/>
  <c r="S18" i="22" a="1"/>
  <c r="R20" i="28" a="1"/>
  <c r="R46" i="28" a="1"/>
  <c r="R16" i="28" a="1"/>
  <c r="R37" i="28" a="1"/>
  <c r="R48" i="24" a="1"/>
  <c r="R30" i="24" a="1"/>
  <c r="R53" i="24" a="1"/>
  <c r="R21" i="25" a="1"/>
  <c r="R45" i="25" a="1"/>
  <c r="R19" i="25" a="1"/>
  <c r="R17" i="25" a="1"/>
  <c r="S38" i="21" a="1"/>
  <c r="S26" i="21" a="1"/>
  <c r="S21" i="21" a="1"/>
  <c r="R17" i="26" a="1"/>
  <c r="R42" i="26" a="1"/>
  <c r="R43" i="26" a="1"/>
  <c r="R40" i="26" a="1"/>
  <c r="S44" i="20" a="1"/>
  <c r="S42" i="20" a="1"/>
  <c r="S28" i="20" a="1"/>
  <c r="R50" i="27" a="1"/>
  <c r="R36" i="27" a="1"/>
  <c r="R25" i="27" a="1"/>
  <c r="S39" i="9" a="1"/>
  <c r="S47" i="9" a="1"/>
  <c r="S20" i="9" a="1"/>
  <c r="S45" i="23" a="1"/>
  <c r="S44" i="23" a="1"/>
  <c r="S24" i="23" a="1"/>
  <c r="S37" i="19" a="1"/>
  <c r="S28" i="19" a="1"/>
  <c r="R51" i="29" a="1"/>
  <c r="S16" i="22" a="1"/>
  <c r="R24" i="28" a="1"/>
  <c r="R39" i="24" a="1"/>
  <c r="S41" i="21" a="1"/>
  <c r="S31" i="20" a="1"/>
  <c r="S22" i="9" a="1"/>
  <c r="S39" i="23" a="1"/>
  <c r="S24" i="22" a="1"/>
  <c r="S16" i="20" a="1"/>
  <c r="S43" i="19" a="1"/>
  <c r="S25" i="19" a="1"/>
  <c r="R36" i="28" a="1"/>
  <c r="R31" i="28" a="1"/>
  <c r="R26" i="28" a="1"/>
  <c r="R47" i="28" a="1"/>
  <c r="R16" i="24" a="1"/>
  <c r="R52" i="24" a="1"/>
  <c r="R43" i="24" a="1"/>
  <c r="R26" i="25" a="1"/>
  <c r="R15" i="25" a="1"/>
  <c r="R53" i="25" a="1"/>
  <c r="R28" i="25" a="1"/>
  <c r="S34" i="21" a="1"/>
  <c r="S39" i="21" a="1"/>
  <c r="S36" i="21" a="1"/>
  <c r="R47" i="26" a="1"/>
  <c r="R52" i="26" a="1"/>
  <c r="R18" i="26" a="1"/>
  <c r="R25" i="26" a="1"/>
  <c r="S29" i="20" a="1"/>
  <c r="S43" i="20" a="1"/>
  <c r="S30" i="20" a="1"/>
  <c r="R15" i="27" a="1"/>
  <c r="R52" i="27" a="1"/>
  <c r="R53" i="27" a="1"/>
  <c r="R54" i="27" a="1"/>
  <c r="S51" i="9" a="1"/>
  <c r="S44" i="9" a="1"/>
  <c r="S45" i="9" a="1"/>
  <c r="S47" i="23" a="1"/>
  <c r="R42" i="28" a="1"/>
  <c r="R27" i="28" a="1"/>
  <c r="R37" i="24" a="1"/>
  <c r="R32" i="24" a="1"/>
  <c r="R15" i="24" a="1"/>
  <c r="R21" i="24" a="1"/>
  <c r="R30" i="25" a="1"/>
  <c r="R42" i="25" a="1"/>
  <c r="R29" i="25" a="1"/>
  <c r="S48" i="21" a="1"/>
  <c r="S22" i="21" a="1"/>
  <c r="S54" i="21" a="1"/>
  <c r="R38" i="26" a="1"/>
  <c r="R35" i="26" a="1"/>
  <c r="R29" i="26" a="1"/>
  <c r="S24" i="20" a="1"/>
  <c r="R39" i="28" a="1"/>
  <c r="R43" i="28" a="1"/>
  <c r="R54" i="28" a="1"/>
  <c r="R20" i="24" a="1"/>
  <c r="R22" i="24" a="1"/>
  <c r="R27" i="24" a="1"/>
  <c r="R47" i="24" a="1"/>
  <c r="R35" i="25" a="1"/>
  <c r="R36" i="25" a="1"/>
  <c r="R24" i="25" a="1"/>
  <c r="S50" i="21" a="1"/>
  <c r="S16" i="21" a="1"/>
  <c r="S35" i="21" a="1"/>
  <c r="S46" i="21" a="1"/>
  <c r="R15" i="26" a="1"/>
  <c r="R20" i="26" a="1"/>
  <c r="S46" i="20" a="1"/>
  <c r="S23" i="20" a="1"/>
  <c r="S37" i="20" a="1"/>
  <c r="R43" i="27" a="1"/>
  <c r="R29" i="27" a="1"/>
  <c r="R20" i="27" a="1"/>
  <c r="S40" i="9" a="1"/>
  <c r="S38" i="9" a="1"/>
  <c r="S41" i="9" a="1"/>
  <c r="S48" i="9" a="1"/>
  <c r="S31" i="23" a="1"/>
  <c r="S51" i="23" a="1"/>
  <c r="S52" i="23" a="1"/>
  <c r="S22" i="19" a="1"/>
  <c r="S29" i="19" a="1"/>
  <c r="S33" i="19" a="1"/>
  <c r="S49" i="19" a="1"/>
  <c r="R44" i="29" a="1"/>
  <c r="R22" i="29" a="1"/>
  <c r="R36" i="29" a="1"/>
  <c r="S25" i="22" a="1"/>
  <c r="S23" i="22" a="1"/>
  <c r="S36" i="22" a="1"/>
  <c r="R51" i="28" a="1"/>
  <c r="R33" i="28" a="1"/>
  <c r="R18" i="28" a="1"/>
  <c r="R34" i="24" a="1"/>
  <c r="R19" i="24" a="1"/>
  <c r="R25" i="24" a="1"/>
  <c r="R43" i="25" a="1"/>
  <c r="R32" i="25" a="1"/>
  <c r="R39" i="25" a="1"/>
  <c r="S17" i="21" a="1"/>
  <c r="S52" i="21" a="1"/>
  <c r="S33" i="21" a="1"/>
  <c r="S44" i="21" a="1"/>
  <c r="R23" i="26" a="1"/>
  <c r="R39" i="26" a="1"/>
  <c r="R24" i="26" a="1"/>
  <c r="S15" i="20" a="1"/>
  <c r="S50" i="20" a="1"/>
  <c r="S45" i="20" a="1"/>
  <c r="S48" i="20" a="1"/>
  <c r="R45" i="27" a="1"/>
  <c r="R17" i="27" a="1"/>
  <c r="R28" i="27" a="1"/>
  <c r="S32" i="9" a="1"/>
  <c r="S42" i="9" a="1"/>
  <c r="S19" i="9" a="1"/>
  <c r="S17" i="9" a="1"/>
  <c r="S17" i="23" a="1"/>
  <c r="S49" i="23" a="1"/>
  <c r="S48" i="19" a="1"/>
  <c r="S42" i="19" a="1"/>
  <c r="S19" i="19" a="1"/>
  <c r="R20" i="29" a="1"/>
  <c r="R47" i="29" a="1"/>
  <c r="R16" i="29" a="1"/>
  <c r="S15" i="22" a="1"/>
  <c r="S37" i="22" a="1"/>
  <c r="S28" i="22" a="1"/>
  <c r="S26" i="22" a="1"/>
  <c r="R34" i="29" a="1"/>
  <c r="S48" i="22" a="1"/>
  <c r="R28" i="26" a="1"/>
  <c r="S21" i="23" a="1"/>
  <c r="R43" i="29" a="1"/>
  <c r="R32" i="28" a="1"/>
  <c r="S28" i="21" a="1"/>
  <c r="R53" i="26" a="1"/>
  <c r="S49" i="9" a="1"/>
  <c r="R17" i="29" a="1"/>
  <c r="S40" i="22" a="1"/>
  <c r="S40" i="20" a="1"/>
  <c r="S15" i="9" a="1"/>
  <c r="S20" i="23" a="1"/>
  <c r="S44" i="22" a="1"/>
  <c r="S23" i="19" a="1"/>
  <c r="S50" i="22" a="1"/>
  <c r="S20" i="21" a="1"/>
  <c r="R37" i="26" a="1"/>
  <c r="S36" i="9" a="1"/>
  <c r="S40" i="19" a="1"/>
  <c r="S43" i="22" a="1"/>
  <c r="R34" i="25" a="1"/>
  <c r="R36" i="26" a="1"/>
  <c r="R44" i="26" a="1"/>
  <c r="S34" i="20" a="1"/>
  <c r="R15" i="29" a="1"/>
  <c r="S15" i="23" a="1"/>
  <c r="S36" i="19" a="1"/>
  <c r="R54" i="29" a="1"/>
  <c r="S17" i="20" a="1"/>
  <c r="S16" i="9" a="1"/>
  <c r="R19" i="28" a="1"/>
  <c r="R25" i="28" a="1"/>
  <c r="R48" i="28" a="1"/>
  <c r="R28" i="24" a="1"/>
  <c r="R50" i="24" a="1"/>
  <c r="R35" i="24" a="1"/>
  <c r="R17" i="24" a="1"/>
  <c r="R47" i="25" a="1"/>
  <c r="R22" i="25" a="1"/>
  <c r="R18" i="25" a="1"/>
  <c r="S19" i="21" a="1"/>
  <c r="S31" i="21" a="1"/>
  <c r="S45" i="21" a="1"/>
  <c r="S29" i="21" a="1"/>
  <c r="R19" i="26" a="1"/>
  <c r="R34" i="26" a="1"/>
  <c r="R30" i="26" a="1"/>
  <c r="S18" i="20" a="1"/>
  <c r="S35" i="20" a="1"/>
  <c r="S54" i="20" a="1"/>
  <c r="S38" i="20" a="1"/>
  <c r="R39" i="27" a="1"/>
  <c r="R22" i="27" a="1"/>
  <c r="R42" i="27" a="1"/>
  <c r="S29" i="9" a="1"/>
  <c r="S18" i="9" a="1"/>
  <c r="S30" i="9" a="1"/>
  <c r="S27" i="23" a="1"/>
  <c r="S41" i="23" a="1"/>
  <c r="S19" i="23" a="1"/>
  <c r="S39" i="19" a="1"/>
  <c r="S31" i="19" a="1"/>
  <c r="S50" i="19" a="1"/>
  <c r="S16" i="19" a="1"/>
  <c r="R24" i="29" a="1"/>
  <c r="R37" i="29" a="1"/>
  <c r="R32" i="29" a="1"/>
  <c r="S45" i="22" a="1"/>
  <c r="S27" i="22" a="1"/>
  <c r="S42" i="22" a="1"/>
  <c r="S17" i="22" a="1"/>
  <c r="S54" i="9" a="1"/>
  <c r="S30" i="23" a="1"/>
  <c r="S33" i="23" a="1"/>
  <c r="S35" i="19" a="1"/>
  <c r="S21" i="19" a="1"/>
  <c r="S52" i="19" a="1"/>
  <c r="R48" i="29" a="1"/>
  <c r="R18" i="29" a="1"/>
  <c r="R25" i="29" a="1"/>
  <c r="S33" i="22" a="1"/>
  <c r="S35" i="22" a="1"/>
  <c r="S46" i="22" a="1"/>
  <c r="R49" i="28" a="1"/>
  <c r="R53" i="28" a="1"/>
  <c r="R40" i="28" a="1"/>
  <c r="R29" i="24" a="1"/>
  <c r="R23" i="24" a="1"/>
  <c r="R33" i="24" a="1"/>
  <c r="R44" i="24" a="1"/>
  <c r="R49" i="25" a="1"/>
  <c r="R23" i="25" a="1"/>
  <c r="R16" i="25" a="1"/>
  <c r="S27" i="21" a="1"/>
  <c r="S32" i="21" a="1"/>
  <c r="S18" i="21" a="1"/>
  <c r="S15" i="21" a="1"/>
  <c r="R48" i="26" a="1"/>
  <c r="R54" i="26" a="1"/>
  <c r="S36" i="20" a="1"/>
  <c r="S25" i="20" a="1"/>
  <c r="S27" i="20" a="1"/>
  <c r="S52" i="20" a="1"/>
  <c r="R51" i="27" a="1"/>
  <c r="R46" i="27" a="1"/>
  <c r="R33" i="27" a="1"/>
  <c r="S26" i="9" a="1"/>
  <c r="S35" i="9" a="1"/>
  <c r="S53" i="9" a="1"/>
  <c r="S36" i="23" a="1"/>
  <c r="S54" i="19" a="1"/>
  <c r="S32" i="22" a="1"/>
  <c r="R38" i="28" a="1"/>
  <c r="R17" i="28" a="1"/>
  <c r="R40" i="24" a="1"/>
  <c r="R54" i="24" a="1"/>
  <c r="R38" i="24" a="1"/>
  <c r="R38" i="25" a="1"/>
  <c r="R46" i="25" a="1"/>
  <c r="S25" i="21" a="1"/>
  <c r="R21" i="26" a="1"/>
  <c r="R46" i="26" a="1"/>
  <c r="S20" i="20" a="1"/>
  <c r="S39" i="20" a="1"/>
  <c r="S37" i="23" a="1"/>
  <c r="S20" i="19" a="1"/>
  <c r="R41" i="29" a="1"/>
  <c r="R19" i="29" a="1"/>
  <c r="S30" i="22" a="1"/>
  <c r="R25" i="25" a="1"/>
  <c r="S22" i="20" a="1"/>
  <c r="R47" i="27" a="1"/>
  <c r="S51" i="19" a="1"/>
  <c r="R49" i="27" a="1"/>
  <c r="S35" i="23" a="1"/>
  <c r="R53" i="29" a="1"/>
  <c r="S29" i="22" a="1"/>
  <c r="S50" i="23" a="1"/>
  <c r="R41" i="27" a="1"/>
  <c r="S26" i="23" a="1"/>
  <c r="S20" i="22" a="1"/>
  <c r="R34" i="28" a="1"/>
  <c r="R22" i="28" a="1"/>
  <c r="R45" i="28" a="1"/>
  <c r="R24" i="24" a="1"/>
  <c r="R42" i="24" a="1"/>
  <c r="R51" i="24" a="1"/>
  <c r="R49" i="24" a="1"/>
  <c r="R52" i="25" a="1"/>
  <c r="R40" i="25" a="1"/>
  <c r="R27" i="25" a="1"/>
  <c r="S49" i="21" a="1"/>
  <c r="S40" i="21" a="1"/>
  <c r="S30" i="21" a="1"/>
  <c r="S24" i="21" a="1"/>
  <c r="R32" i="26" a="1"/>
  <c r="R50" i="26" a="1"/>
  <c r="R49" i="26" a="1"/>
  <c r="S47" i="20" a="1"/>
  <c r="S49" i="20" a="1"/>
  <c r="S32" i="20" a="1"/>
  <c r="S19" i="20" a="1"/>
  <c r="R26" i="27" a="1"/>
  <c r="R31" i="27" a="1"/>
  <c r="R37" i="27" a="1"/>
  <c r="S25" i="9" a="1"/>
  <c r="S21" i="9" a="1"/>
  <c r="S27" i="9" a="1"/>
  <c r="S50" i="9" a="1"/>
  <c r="S29" i="23" a="1"/>
  <c r="S16" i="23" a="1"/>
  <c r="S45" i="19" a="1"/>
  <c r="S46" i="19" a="1"/>
  <c r="S44" i="19" a="1"/>
  <c r="S41" i="19" a="1"/>
  <c r="R49" i="29" a="1"/>
  <c r="R50" i="29" a="1"/>
  <c r="R46" i="29" a="1"/>
  <c r="S54" i="22" a="1"/>
  <c r="S31" i="22" a="1"/>
  <c r="S52" i="22" a="1"/>
  <c r="S53" i="22" a="1"/>
  <c r="R20" i="25" a="1"/>
  <c r="R31" i="26" a="1"/>
  <c r="R19" i="27" a="1"/>
  <c r="S18" i="23" a="1"/>
  <c r="S53" i="21" a="1"/>
  <c r="S28" i="23" a="1"/>
  <c r="R23" i="29" a="1"/>
  <c r="S21" i="22" a="1"/>
  <c r="S21" i="22" l="1"/>
  <c r="R23" i="29"/>
  <c r="S28" i="23"/>
  <c r="S53" i="21"/>
  <c r="S18" i="23"/>
  <c r="R19" i="27"/>
  <c r="R31" i="26"/>
  <c r="R20" i="25"/>
  <c r="S53" i="22"/>
  <c r="S52" i="22"/>
  <c r="S31" i="22"/>
  <c r="S54" i="22"/>
  <c r="R46" i="29"/>
  <c r="R50" i="29"/>
  <c r="R49" i="29"/>
  <c r="S41" i="19"/>
  <c r="S44" i="19"/>
  <c r="S46" i="19"/>
  <c r="S45" i="19"/>
  <c r="S16" i="23"/>
  <c r="S29" i="23"/>
  <c r="S50" i="9"/>
  <c r="S27" i="9"/>
  <c r="S21" i="9"/>
  <c r="S25" i="9"/>
  <c r="R37" i="27"/>
  <c r="R31" i="27"/>
  <c r="R26" i="27"/>
  <c r="S19" i="20"/>
  <c r="S32" i="20"/>
  <c r="S49" i="20"/>
  <c r="S47" i="20"/>
  <c r="R49" i="26"/>
  <c r="R50" i="26"/>
  <c r="R32" i="26"/>
  <c r="S24" i="21"/>
  <c r="S30" i="21"/>
  <c r="S40" i="21"/>
  <c r="S49" i="21"/>
  <c r="R27" i="25"/>
  <c r="R40" i="25"/>
  <c r="R52" i="25"/>
  <c r="R49" i="24"/>
  <c r="R51" i="24"/>
  <c r="R42" i="24"/>
  <c r="R24" i="24"/>
  <c r="R45" i="28"/>
  <c r="R22" i="28"/>
  <c r="R34" i="28"/>
  <c r="S20" i="22"/>
  <c r="S26" i="23"/>
  <c r="R41" i="27"/>
  <c r="S50" i="23"/>
  <c r="S29" i="22"/>
  <c r="R53" i="29"/>
  <c r="S35" i="23"/>
  <c r="R49" i="27"/>
  <c r="S51" i="19"/>
  <c r="R47" i="27"/>
  <c r="S22" i="20"/>
  <c r="R25" i="25"/>
  <c r="S30" i="22"/>
  <c r="R19" i="29"/>
  <c r="R41" i="29"/>
  <c r="S20" i="19"/>
  <c r="S37" i="23"/>
  <c r="S39" i="20"/>
  <c r="S20" i="20"/>
  <c r="R46" i="26"/>
  <c r="R21" i="26"/>
  <c r="S25" i="21"/>
  <c r="R46" i="25"/>
  <c r="R38" i="25"/>
  <c r="R38" i="24"/>
  <c r="R54" i="24"/>
  <c r="R40" i="24"/>
  <c r="R17" i="28"/>
  <c r="R38" i="28"/>
  <c r="S32" i="22"/>
  <c r="S54" i="19"/>
  <c r="S36" i="23"/>
  <c r="S53" i="9"/>
  <c r="S35" i="9"/>
  <c r="S26" i="9"/>
  <c r="R33" i="27"/>
  <c r="R46" i="27"/>
  <c r="R51" i="27"/>
  <c r="S52" i="20"/>
  <c r="S27" i="20"/>
  <c r="S25" i="20"/>
  <c r="S36" i="20"/>
  <c r="R54" i="26"/>
  <c r="R48" i="26"/>
  <c r="S15" i="21"/>
  <c r="S18" i="21"/>
  <c r="S32" i="21"/>
  <c r="S27" i="21"/>
  <c r="R16" i="25"/>
  <c r="R23" i="25"/>
  <c r="R49" i="25"/>
  <c r="R44" i="24"/>
  <c r="R33" i="24"/>
  <c r="R23" i="24"/>
  <c r="R29" i="24"/>
  <c r="R40" i="28"/>
  <c r="R53" i="28"/>
  <c r="R49" i="28"/>
  <c r="S46" i="22"/>
  <c r="S35" i="22"/>
  <c r="S33" i="22"/>
  <c r="R25" i="29"/>
  <c r="R18" i="29"/>
  <c r="R48" i="29"/>
  <c r="S52" i="19"/>
  <c r="S21" i="19"/>
  <c r="S35" i="19"/>
  <c r="S33" i="23"/>
  <c r="S30" i="23"/>
  <c r="S54" i="9"/>
  <c r="S17" i="22"/>
  <c r="S42" i="22"/>
  <c r="S27" i="22"/>
  <c r="S45" i="22"/>
  <c r="R32" i="29"/>
  <c r="R37" i="29"/>
  <c r="R24" i="29"/>
  <c r="S16" i="19"/>
  <c r="S50" i="19"/>
  <c r="S31" i="19"/>
  <c r="S39" i="19"/>
  <c r="S19" i="23"/>
  <c r="S41" i="23"/>
  <c r="S27" i="23"/>
  <c r="S30" i="9"/>
  <c r="S18" i="9"/>
  <c r="S29" i="9"/>
  <c r="R42" i="27"/>
  <c r="R22" i="27"/>
  <c r="R39" i="27"/>
  <c r="S38" i="20"/>
  <c r="S54" i="20"/>
  <c r="S35" i="20"/>
  <c r="S18" i="20"/>
  <c r="R30" i="26"/>
  <c r="R34" i="26"/>
  <c r="R19" i="26"/>
  <c r="S29" i="21"/>
  <c r="S45" i="21"/>
  <c r="S31" i="21"/>
  <c r="S19" i="21"/>
  <c r="R18" i="25"/>
  <c r="R22" i="25"/>
  <c r="R47" i="25"/>
  <c r="R17" i="24"/>
  <c r="R35" i="24"/>
  <c r="R50" i="24"/>
  <c r="R28" i="24"/>
  <c r="R48" i="28"/>
  <c r="R25" i="28"/>
  <c r="R19" i="28"/>
  <c r="S16" i="9"/>
  <c r="S17" i="20"/>
  <c r="R54" i="29"/>
  <c r="S36" i="19"/>
  <c r="S15" i="23"/>
  <c r="R15" i="29"/>
  <c r="S34" i="20"/>
  <c r="R44" i="26"/>
  <c r="R36" i="26"/>
  <c r="R34" i="25"/>
  <c r="S43" i="22"/>
  <c r="S40" i="19"/>
  <c r="S36" i="9"/>
  <c r="R37" i="26"/>
  <c r="S20" i="21"/>
  <c r="S50" i="22"/>
  <c r="S23" i="19"/>
  <c r="S44" i="22"/>
  <c r="S20" i="23"/>
  <c r="S15" i="9"/>
  <c r="S40" i="20"/>
  <c r="S40" i="22"/>
  <c r="R17" i="29"/>
  <c r="S49" i="9"/>
  <c r="R53" i="26"/>
  <c r="S28" i="21"/>
  <c r="R32" i="28"/>
  <c r="R43" i="29"/>
  <c r="S21" i="23"/>
  <c r="R28" i="26"/>
  <c r="S48" i="22"/>
  <c r="R34" i="29"/>
  <c r="S26" i="22"/>
  <c r="S28" i="22"/>
  <c r="S37" i="22"/>
  <c r="S15" i="22"/>
  <c r="R16" i="29"/>
  <c r="R47" i="29"/>
  <c r="R20" i="29"/>
  <c r="S19" i="19"/>
  <c r="S42" i="19"/>
  <c r="S48" i="19"/>
  <c r="S49" i="23"/>
  <c r="S17" i="23"/>
  <c r="S17" i="9"/>
  <c r="S19" i="9"/>
  <c r="S42" i="9"/>
  <c r="S32" i="9"/>
  <c r="R28" i="27"/>
  <c r="R17" i="27"/>
  <c r="R45" i="27"/>
  <c r="S48" i="20"/>
  <c r="S45" i="20"/>
  <c r="S50" i="20"/>
  <c r="S15" i="20"/>
  <c r="R24" i="26"/>
  <c r="R39" i="26"/>
  <c r="R23" i="26"/>
  <c r="S44" i="21"/>
  <c r="S33" i="21"/>
  <c r="S52" i="21"/>
  <c r="S17" i="21"/>
  <c r="R39" i="25"/>
  <c r="R32" i="25"/>
  <c r="R43" i="25"/>
  <c r="R25" i="24"/>
  <c r="R19" i="24"/>
  <c r="R34" i="24"/>
  <c r="R18" i="28"/>
  <c r="R33" i="28"/>
  <c r="R51" i="28"/>
  <c r="S36" i="22"/>
  <c r="S23" i="22"/>
  <c r="S25" i="22"/>
  <c r="R36" i="29"/>
  <c r="R22" i="29"/>
  <c r="R44" i="29"/>
  <c r="S49" i="19"/>
  <c r="S33" i="19"/>
  <c r="S29" i="19"/>
  <c r="S22" i="19"/>
  <c r="S52" i="23"/>
  <c r="S51" i="23"/>
  <c r="S31" i="23"/>
  <c r="S48" i="9"/>
  <c r="S41" i="9"/>
  <c r="S38" i="9"/>
  <c r="S40" i="9"/>
  <c r="R20" i="27"/>
  <c r="R29" i="27"/>
  <c r="R43" i="27"/>
  <c r="S37" i="20"/>
  <c r="S23" i="20"/>
  <c r="S46" i="20"/>
  <c r="R20" i="26"/>
  <c r="R15" i="26"/>
  <c r="S46" i="21"/>
  <c r="S35" i="21"/>
  <c r="S16" i="21"/>
  <c r="S50" i="21"/>
  <c r="R24" i="25"/>
  <c r="R36" i="25"/>
  <c r="R35" i="25"/>
  <c r="R47" i="24"/>
  <c r="R27" i="24"/>
  <c r="R22" i="24"/>
  <c r="R20" i="24"/>
  <c r="R54" i="28"/>
  <c r="R43" i="28"/>
  <c r="R39" i="28"/>
  <c r="S24" i="20"/>
  <c r="R29" i="26"/>
  <c r="R35" i="26"/>
  <c r="R38" i="26"/>
  <c r="S54" i="21"/>
  <c r="S22" i="21"/>
  <c r="S48" i="21"/>
  <c r="R29" i="25"/>
  <c r="R42" i="25"/>
  <c r="R30" i="25"/>
  <c r="R21" i="24"/>
  <c r="R15" i="24"/>
  <c r="R32" i="24"/>
  <c r="R37" i="24"/>
  <c r="R27" i="28"/>
  <c r="R42" i="28"/>
  <c r="S47" i="23"/>
  <c r="S45" i="9"/>
  <c r="S44" i="9"/>
  <c r="S51" i="9"/>
  <c r="R54" i="27"/>
  <c r="R53" i="27"/>
  <c r="R52" i="27"/>
  <c r="R15" i="27"/>
  <c r="S30" i="20"/>
  <c r="S43" i="20"/>
  <c r="S29" i="20"/>
  <c r="R25" i="26"/>
  <c r="R18" i="26"/>
  <c r="R52" i="26"/>
  <c r="R47" i="26"/>
  <c r="S36" i="21"/>
  <c r="S39" i="21"/>
  <c r="S34" i="21"/>
  <c r="R28" i="25"/>
  <c r="R53" i="25"/>
  <c r="R15" i="25"/>
  <c r="R26" i="25"/>
  <c r="R43" i="24"/>
  <c r="R52" i="24"/>
  <c r="R16" i="24"/>
  <c r="R47" i="28"/>
  <c r="R26" i="28"/>
  <c r="R31" i="28"/>
  <c r="R36" i="28"/>
  <c r="S25" i="19"/>
  <c r="S43" i="19"/>
  <c r="S16" i="20"/>
  <c r="S24" i="22"/>
  <c r="S39" i="23"/>
  <c r="S22" i="9"/>
  <c r="S31" i="20"/>
  <c r="S41" i="21"/>
  <c r="R39" i="24"/>
  <c r="R24" i="28"/>
  <c r="S16" i="22"/>
  <c r="R51" i="29"/>
  <c r="S28" i="19"/>
  <c r="S37" i="19"/>
  <c r="S24" i="23"/>
  <c r="S44" i="23"/>
  <c r="S45" i="23"/>
  <c r="S20" i="9"/>
  <c r="S47" i="9"/>
  <c r="S39" i="9"/>
  <c r="R25" i="27"/>
  <c r="R36" i="27"/>
  <c r="R50" i="27"/>
  <c r="S28" i="20"/>
  <c r="S42" i="20"/>
  <c r="S44" i="20"/>
  <c r="R40" i="26"/>
  <c r="R43" i="26"/>
  <c r="R42" i="26"/>
  <c r="R17" i="26"/>
  <c r="S21" i="21"/>
  <c r="S26" i="21"/>
  <c r="S38" i="21"/>
  <c r="R17" i="25"/>
  <c r="R19" i="25"/>
  <c r="R45" i="25"/>
  <c r="R21" i="25"/>
  <c r="R53" i="24"/>
  <c r="R30" i="24"/>
  <c r="R48" i="24"/>
  <c r="R37" i="28"/>
  <c r="R16" i="28"/>
  <c r="R46" i="28"/>
  <c r="R20" i="28"/>
  <c r="S18" i="22"/>
  <c r="S38" i="22"/>
  <c r="R45" i="29"/>
  <c r="R52" i="29"/>
  <c r="S17" i="19"/>
  <c r="S32" i="23"/>
  <c r="S19" i="22"/>
  <c r="R31" i="29"/>
  <c r="S52" i="9"/>
  <c r="R30" i="27"/>
  <c r="R35" i="27"/>
  <c r="R45" i="26"/>
  <c r="R36" i="24"/>
  <c r="R44" i="28"/>
  <c r="S41" i="22"/>
  <c r="S39" i="22"/>
  <c r="R40" i="29"/>
  <c r="R30" i="29"/>
  <c r="R26" i="29"/>
  <c r="S38" i="19"/>
  <c r="S34" i="23"/>
  <c r="S34" i="22"/>
  <c r="S22" i="22"/>
  <c r="S51" i="22"/>
  <c r="R35" i="29"/>
  <c r="R21" i="29"/>
  <c r="R42" i="29"/>
  <c r="S18" i="19"/>
  <c r="S27" i="19"/>
  <c r="S24" i="19"/>
  <c r="S48" i="23"/>
  <c r="S43" i="23"/>
  <c r="S54" i="23"/>
  <c r="S46" i="23"/>
  <c r="S24" i="9"/>
  <c r="S43" i="9"/>
  <c r="S37" i="9"/>
  <c r="R21" i="27"/>
  <c r="R40" i="27"/>
  <c r="R24" i="27"/>
  <c r="R23" i="27"/>
  <c r="S33" i="20"/>
  <c r="S26" i="20"/>
  <c r="S41" i="20"/>
  <c r="R27" i="26"/>
  <c r="R16" i="26"/>
  <c r="R41" i="26"/>
  <c r="R33" i="26"/>
  <c r="S51" i="21"/>
  <c r="S37" i="21"/>
  <c r="S47" i="21"/>
  <c r="R41" i="25"/>
  <c r="R50" i="25"/>
  <c r="R44" i="25"/>
  <c r="R37" i="25"/>
  <c r="R26" i="24"/>
  <c r="R45" i="24"/>
  <c r="R28" i="28"/>
  <c r="R21" i="28"/>
  <c r="R23" i="28"/>
  <c r="R50" i="28"/>
  <c r="R29" i="29"/>
  <c r="S26" i="19"/>
  <c r="S28" i="9"/>
  <c r="R38" i="27"/>
  <c r="S53" i="23"/>
  <c r="S49" i="22"/>
  <c r="R38" i="29"/>
  <c r="S23" i="23"/>
  <c r="S21" i="20"/>
  <c r="R54" i="25"/>
  <c r="R46" i="24"/>
  <c r="S47" i="22"/>
  <c r="R33" i="29"/>
  <c r="S30" i="19"/>
  <c r="S22" i="23"/>
  <c r="S25" i="23"/>
  <c r="S34" i="9"/>
  <c r="R44" i="27"/>
  <c r="R22" i="26"/>
  <c r="R31" i="25"/>
  <c r="R51" i="25"/>
  <c r="R31" i="24"/>
  <c r="R41" i="24"/>
  <c r="R18" i="24"/>
  <c r="R52" i="28"/>
  <c r="R30" i="28"/>
  <c r="R29" i="28"/>
  <c r="R15" i="28"/>
  <c r="S47" i="19"/>
  <c r="R16" i="27"/>
  <c r="R27" i="29"/>
  <c r="S15" i="19"/>
  <c r="R28" i="29"/>
  <c r="S34" i="19"/>
  <c r="S42" i="23"/>
  <c r="R32" i="27"/>
  <c r="S43" i="21"/>
  <c r="R48" i="25"/>
  <c r="R35" i="28"/>
  <c r="S46" i="9"/>
  <c r="R34" i="27"/>
  <c r="R48" i="27"/>
  <c r="S53" i="20"/>
  <c r="R51" i="26"/>
  <c r="S23" i="21"/>
  <c r="R39" i="29"/>
  <c r="S32" i="19"/>
  <c r="S53" i="19"/>
  <c r="S40" i="23"/>
  <c r="S38" i="23"/>
  <c r="S31" i="9"/>
  <c r="S23" i="9"/>
  <c r="S33" i="9"/>
  <c r="R18" i="27"/>
  <c r="R27" i="27"/>
  <c r="S51" i="20"/>
  <c r="R26" i="26"/>
  <c r="S42" i="21"/>
  <c r="R33" i="25"/>
  <c r="R41" i="28"/>
  <c r="T12" i="23"/>
  <c r="U11" i="23"/>
  <c r="T11" i="27"/>
  <c r="S12" i="27"/>
  <c r="T12" i="21"/>
  <c r="U11" i="21"/>
  <c r="S12" i="28"/>
  <c r="T11" i="28"/>
  <c r="T12" i="20"/>
  <c r="U11" i="20"/>
  <c r="U11" i="22"/>
  <c r="T12" i="22"/>
  <c r="T11" i="26"/>
  <c r="S12" i="26"/>
  <c r="U11" i="9"/>
  <c r="T12" i="9"/>
  <c r="U11" i="19"/>
  <c r="T12" i="19"/>
  <c r="T11" i="29"/>
  <c r="S12" i="29"/>
  <c r="T11" i="24"/>
  <c r="S12" i="24"/>
  <c r="T11" i="25"/>
  <c r="S12" i="25"/>
  <c r="T15" i="23" a="1"/>
  <c r="T39" i="23" a="1"/>
  <c r="T41" i="23" a="1"/>
  <c r="S38" i="27" a="1"/>
  <c r="S47" i="27" a="1"/>
  <c r="S34" i="27" a="1"/>
  <c r="T41" i="21" a="1"/>
  <c r="T38" i="21" a="1"/>
  <c r="T28" i="21" a="1"/>
  <c r="T19" i="21" a="1"/>
  <c r="S16" i="28" a="1"/>
  <c r="S46" i="28" a="1"/>
  <c r="S28" i="28" a="1"/>
  <c r="T54" i="20" a="1"/>
  <c r="T33" i="22" a="1"/>
  <c r="S20" i="26" a="1"/>
  <c r="T43" i="19" a="1"/>
  <c r="S52" i="25" a="1"/>
  <c r="S45" i="26" a="1"/>
  <c r="T47" i="19" a="1"/>
  <c r="S43" i="29" a="1"/>
  <c r="S22" i="24" a="1"/>
  <c r="S45" i="25" a="1"/>
  <c r="S17" i="29" a="1"/>
  <c r="S50" i="25" a="1"/>
  <c r="S24" i="28" a="1"/>
  <c r="S54" i="26" a="1"/>
  <c r="S18" i="24" a="1"/>
  <c r="T44" i="23" a="1"/>
  <c r="T35" i="23" a="1"/>
  <c r="T24" i="23" a="1"/>
  <c r="T21" i="23" a="1"/>
  <c r="S28" i="27" a="1"/>
  <c r="S37" i="27" a="1"/>
  <c r="S20" i="27" a="1"/>
  <c r="T53" i="21" a="1"/>
  <c r="T37" i="21" a="1"/>
  <c r="T27" i="21" a="1"/>
  <c r="T42" i="21" a="1"/>
  <c r="S32" i="28" a="1"/>
  <c r="S45" i="28" a="1"/>
  <c r="S40" i="28" a="1"/>
  <c r="T40" i="20" a="1"/>
  <c r="T33" i="20" a="1"/>
  <c r="T20" i="20" a="1"/>
  <c r="T32" i="20" a="1"/>
  <c r="T43" i="22" a="1"/>
  <c r="T15" i="22" a="1"/>
  <c r="T30" i="22" a="1"/>
  <c r="S48" i="26" a="1"/>
  <c r="S30" i="26" a="1"/>
  <c r="S34" i="26" a="1"/>
  <c r="S40" i="26" a="1"/>
  <c r="T51" i="9" a="1"/>
  <c r="T20" i="9" a="1"/>
  <c r="T17" i="9" a="1"/>
  <c r="T44" i="19" a="1"/>
  <c r="T34" i="19" a="1"/>
  <c r="T18" i="19" a="1"/>
  <c r="T41" i="19" a="1"/>
  <c r="S48" i="29" a="1"/>
  <c r="S18" i="29" a="1"/>
  <c r="S51" i="29" a="1"/>
  <c r="S28" i="24" a="1"/>
  <c r="S46" i="24" a="1"/>
  <c r="S17" i="24" a="1"/>
  <c r="S51" i="24" a="1"/>
  <c r="S32" i="25" a="1"/>
  <c r="S19" i="25" a="1"/>
  <c r="S31" i="25" a="1"/>
  <c r="T25" i="23" a="1"/>
  <c r="T18" i="23" a="1"/>
  <c r="T36" i="23" a="1"/>
  <c r="T17" i="23" a="1"/>
  <c r="S43" i="27" a="1"/>
  <c r="S41" i="27" a="1"/>
  <c r="S16" i="27" a="1"/>
  <c r="T32" i="21" a="1"/>
  <c r="T40" i="21" a="1"/>
  <c r="T46" i="21" a="1"/>
  <c r="T31" i="21" a="1"/>
  <c r="S39" i="28" a="1"/>
  <c r="S23" i="28" a="1"/>
  <c r="T44" i="20" a="1"/>
  <c r="T39" i="20" a="1"/>
  <c r="T43" i="20" a="1"/>
  <c r="T52" i="20" a="1"/>
  <c r="T34" i="22" a="1"/>
  <c r="T54" i="22" a="1"/>
  <c r="S52" i="26" a="1"/>
  <c r="S54" i="29" a="1"/>
  <c r="S41" i="25" a="1"/>
  <c r="T37" i="9" a="1"/>
  <c r="T17" i="19" a="1"/>
  <c r="S35" i="27" a="1"/>
  <c r="S51" i="28" a="1"/>
  <c r="T40" i="22" a="1"/>
  <c r="T41" i="9" a="1"/>
  <c r="T30" i="19" a="1"/>
  <c r="T52" i="19" a="1"/>
  <c r="S23" i="29" a="1"/>
  <c r="S31" i="24" a="1"/>
  <c r="S39" i="25" a="1"/>
  <c r="S44" i="28" a="1"/>
  <c r="S31" i="26" a="1"/>
  <c r="S41" i="26" a="1"/>
  <c r="T35" i="9" a="1"/>
  <c r="T49" i="9" a="1"/>
  <c r="T32" i="9" a="1"/>
  <c r="T35" i="19" a="1"/>
  <c r="T48" i="19" a="1"/>
  <c r="T49" i="19" a="1"/>
  <c r="S15" i="29" a="1"/>
  <c r="S21" i="24" a="1"/>
  <c r="S19" i="24" a="1"/>
  <c r="S25" i="24" a="1"/>
  <c r="S37" i="25" a="1"/>
  <c r="T28" i="9" a="1"/>
  <c r="T20" i="19" a="1"/>
  <c r="S42" i="24" a="1"/>
  <c r="S53" i="24" a="1"/>
  <c r="S34" i="24" a="1"/>
  <c r="S47" i="25" a="1"/>
  <c r="T35" i="21" a="1"/>
  <c r="T50" i="20" a="1"/>
  <c r="T44" i="9" a="1"/>
  <c r="S16" i="29" a="1"/>
  <c r="S38" i="25" a="1"/>
  <c r="T22" i="23" a="1"/>
  <c r="T20" i="23" a="1"/>
  <c r="T40" i="23" a="1"/>
  <c r="S39" i="27" a="1"/>
  <c r="S36" i="27" a="1"/>
  <c r="S53" i="27" a="1"/>
  <c r="T23" i="21" a="1"/>
  <c r="T43" i="21" a="1"/>
  <c r="T39" i="21" a="1"/>
  <c r="T52" i="21" a="1"/>
  <c r="S15" i="28" a="1"/>
  <c r="S41" i="28" a="1"/>
  <c r="T42" i="20" a="1"/>
  <c r="T38" i="20" a="1"/>
  <c r="T34" i="20" a="1"/>
  <c r="T36" i="20" a="1"/>
  <c r="T31" i="22" a="1"/>
  <c r="T39" i="22" a="1"/>
  <c r="T38" i="22" a="1"/>
  <c r="S18" i="26" a="1"/>
  <c r="S15" i="26" a="1"/>
  <c r="S53" i="26" a="1"/>
  <c r="S49" i="26" a="1"/>
  <c r="T52" i="9" a="1"/>
  <c r="T22" i="9" a="1"/>
  <c r="T38" i="9" a="1"/>
  <c r="T26" i="19" a="1"/>
  <c r="T50" i="19" a="1"/>
  <c r="T31" i="19" a="1"/>
  <c r="T51" i="19" a="1"/>
  <c r="S46" i="29" a="1"/>
  <c r="S25" i="29" a="1"/>
  <c r="S44" i="24" a="1"/>
  <c r="S50" i="24" a="1"/>
  <c r="S20" i="24" a="1"/>
  <c r="S29" i="24" a="1"/>
  <c r="S49" i="25" a="1"/>
  <c r="S27" i="25" a="1"/>
  <c r="T49" i="23" a="1"/>
  <c r="T37" i="23" a="1"/>
  <c r="T47" i="23" a="1"/>
  <c r="S17" i="27" a="1"/>
  <c r="S19" i="27" a="1"/>
  <c r="T25" i="21" a="1"/>
  <c r="T26" i="21" a="1"/>
  <c r="T22" i="21" a="1"/>
  <c r="S38" i="28" a="1"/>
  <c r="S34" i="28" a="1"/>
  <c r="T26" i="20" a="1"/>
  <c r="T49" i="20" a="1"/>
  <c r="T41" i="20" a="1"/>
  <c r="T48" i="22" a="1"/>
  <c r="T19" i="22" a="1"/>
  <c r="S24" i="26" a="1"/>
  <c r="S44" i="26" a="1"/>
  <c r="S22" i="26" a="1"/>
  <c r="T34" i="9" a="1"/>
  <c r="T39" i="9" a="1"/>
  <c r="T54" i="9" a="1"/>
  <c r="T32" i="19" a="1"/>
  <c r="T28" i="19" a="1"/>
  <c r="T24" i="19" a="1"/>
  <c r="S47" i="29" a="1"/>
  <c r="S39" i="29" a="1"/>
  <c r="S45" i="24" a="1"/>
  <c r="S32" i="24" a="1"/>
  <c r="S30" i="24" a="1"/>
  <c r="S34" i="25" a="1"/>
  <c r="S54" i="25" a="1"/>
  <c r="T17" i="22" a="1"/>
  <c r="S38" i="26" a="1"/>
  <c r="S21" i="26" a="1"/>
  <c r="S43" i="26" a="1"/>
  <c r="T19" i="9" a="1"/>
  <c r="T16" i="19" a="1"/>
  <c r="S26" i="29" a="1"/>
  <c r="S37" i="24" a="1"/>
  <c r="S28" i="25" a="1"/>
  <c r="T16" i="23" a="1"/>
  <c r="S33" i="27" a="1"/>
  <c r="T31" i="23" a="1"/>
  <c r="T21" i="20" a="1"/>
  <c r="T27" i="19" a="1"/>
  <c r="S44" i="29" a="1"/>
  <c r="S49" i="24" a="1"/>
  <c r="S44" i="25" a="1"/>
  <c r="T52" i="22" a="1"/>
  <c r="T28" i="23" a="1"/>
  <c r="T27" i="23" a="1"/>
  <c r="T46" i="23" a="1"/>
  <c r="T54" i="23" a="1"/>
  <c r="S49" i="27" a="1"/>
  <c r="S52" i="27" a="1"/>
  <c r="T51" i="21" a="1"/>
  <c r="T44" i="21" a="1"/>
  <c r="T16" i="21" a="1"/>
  <c r="T21" i="21" a="1"/>
  <c r="S42" i="28" a="1"/>
  <c r="S20" i="28" a="1"/>
  <c r="S26" i="28" a="1"/>
  <c r="T27" i="20" a="1"/>
  <c r="T17" i="20" a="1"/>
  <c r="T19" i="20" a="1"/>
  <c r="T53" i="20" a="1"/>
  <c r="T44" i="22" a="1"/>
  <c r="S35" i="26" a="1"/>
  <c r="T30" i="23" a="1"/>
  <c r="T23" i="23" a="1"/>
  <c r="T38" i="23" a="1"/>
  <c r="S24" i="27" a="1"/>
  <c r="S46" i="27" a="1"/>
  <c r="S50" i="27" a="1"/>
  <c r="S32" i="27" a="1"/>
  <c r="T34" i="21" a="1"/>
  <c r="T24" i="21" a="1"/>
  <c r="T45" i="21" a="1"/>
  <c r="S52" i="28" a="1"/>
  <c r="S33" i="28" a="1"/>
  <c r="S29" i="28" a="1"/>
  <c r="S18" i="28" a="1"/>
  <c r="T30" i="20" a="1"/>
  <c r="T15" i="20" a="1"/>
  <c r="T51" i="20" a="1"/>
  <c r="T21" i="22" a="1"/>
  <c r="T45" i="22" a="1"/>
  <c r="T28" i="22" a="1"/>
  <c r="T51" i="22" a="1"/>
  <c r="S25" i="26" a="1"/>
  <c r="S19" i="26" a="1"/>
  <c r="S46" i="26" a="1"/>
  <c r="T15" i="9" a="1"/>
  <c r="T25" i="9" a="1"/>
  <c r="T40" i="9" a="1"/>
  <c r="T47" i="9" a="1"/>
  <c r="T39" i="19" a="1"/>
  <c r="T36" i="19" a="1"/>
  <c r="T53" i="19" a="1"/>
  <c r="S28" i="29" a="1"/>
  <c r="S27" i="29" a="1"/>
  <c r="S36" i="29" a="1"/>
  <c r="S20" i="29" a="1"/>
  <c r="S40" i="24" a="1"/>
  <c r="S33" i="24" a="1"/>
  <c r="S27" i="24" a="1"/>
  <c r="S46" i="25" a="1"/>
  <c r="S24" i="25" a="1"/>
  <c r="S53" i="25" a="1"/>
  <c r="S21" i="25" a="1"/>
  <c r="S30" i="27" a="1"/>
  <c r="S49" i="28" a="1"/>
  <c r="T37" i="20" a="1"/>
  <c r="T37" i="22" a="1"/>
  <c r="T48" i="23" a="1"/>
  <c r="T43" i="23" a="1"/>
  <c r="T33" i="23" a="1"/>
  <c r="S29" i="27" a="1"/>
  <c r="S27" i="27" a="1"/>
  <c r="S44" i="27" a="1"/>
  <c r="S42" i="27" a="1"/>
  <c r="T47" i="21" a="1"/>
  <c r="T36" i="21" a="1"/>
  <c r="T54" i="21" a="1"/>
  <c r="S30" i="28" a="1"/>
  <c r="S43" i="28" a="1"/>
  <c r="S37" i="28" a="1"/>
  <c r="S36" i="28" a="1"/>
  <c r="T18" i="20" a="1"/>
  <c r="T45" i="20" a="1"/>
  <c r="T16" i="20" a="1"/>
  <c r="T35" i="22" a="1"/>
  <c r="T24" i="22" a="1"/>
  <c r="T41" i="22" a="1"/>
  <c r="S27" i="26" a="1"/>
  <c r="S17" i="26" a="1"/>
  <c r="S23" i="26" a="1"/>
  <c r="T27" i="9" a="1"/>
  <c r="T45" i="9" a="1"/>
  <c r="T50" i="9" a="1"/>
  <c r="T29" i="9" a="1"/>
  <c r="T22" i="19" a="1"/>
  <c r="T15" i="19" a="1"/>
  <c r="T23" i="19" a="1"/>
  <c r="S21" i="29" a="1"/>
  <c r="S24" i="29" a="1"/>
  <c r="S40" i="29" a="1"/>
  <c r="S45" i="29" a="1"/>
  <c r="S24" i="24" a="1"/>
  <c r="S35" i="24" a="1"/>
  <c r="S30" i="25" a="1"/>
  <c r="S40" i="25" a="1"/>
  <c r="T26" i="23" a="1"/>
  <c r="T51" i="23" a="1"/>
  <c r="T50" i="23" a="1"/>
  <c r="S45" i="27" a="1"/>
  <c r="S23" i="27" a="1"/>
  <c r="S54" i="27" a="1"/>
  <c r="S48" i="27" a="1"/>
  <c r="T20" i="21" a="1"/>
  <c r="T30" i="21" a="1"/>
  <c r="T15" i="21" a="1"/>
  <c r="S53" i="28" a="1"/>
  <c r="S35" i="28" a="1"/>
  <c r="S25" i="28" a="1"/>
  <c r="S47" i="28" a="1"/>
  <c r="T48" i="20" a="1"/>
  <c r="T31" i="20" a="1"/>
  <c r="T22" i="22" a="1"/>
  <c r="T32" i="22" a="1"/>
  <c r="T47" i="22" a="1"/>
  <c r="T50" i="22" a="1"/>
  <c r="S32" i="26" a="1"/>
  <c r="S37" i="26" a="1"/>
  <c r="T30" i="9" a="1"/>
  <c r="T33" i="9" a="1"/>
  <c r="T53" i="9" a="1"/>
  <c r="T31" i="9" a="1"/>
  <c r="T46" i="19" a="1"/>
  <c r="T21" i="19" a="1"/>
  <c r="T45" i="19" a="1"/>
  <c r="S19" i="29" a="1"/>
  <c r="S42" i="29" a="1"/>
  <c r="S37" i="29" a="1"/>
  <c r="S52" i="29" a="1"/>
  <c r="S52" i="24" a="1"/>
  <c r="S15" i="24" a="1"/>
  <c r="S29" i="25" a="1"/>
  <c r="S36" i="25" a="1"/>
  <c r="S42" i="25" a="1"/>
  <c r="S18" i="25" a="1"/>
  <c r="T45" i="23" a="1"/>
  <c r="S31" i="28" a="1"/>
  <c r="T27" i="22" a="1"/>
  <c r="T29" i="22" a="1"/>
  <c r="S50" i="26" a="1"/>
  <c r="S29" i="29" a="1"/>
  <c r="S43" i="25" a="1"/>
  <c r="T29" i="23" a="1"/>
  <c r="T42" i="23" a="1"/>
  <c r="T32" i="23" a="1"/>
  <c r="S40" i="27" a="1"/>
  <c r="S22" i="27" a="1"/>
  <c r="S15" i="27" a="1"/>
  <c r="S21" i="27" a="1"/>
  <c r="T50" i="21" a="1"/>
  <c r="T18" i="21" a="1"/>
  <c r="T49" i="21" a="1"/>
  <c r="S27" i="28" a="1"/>
  <c r="S17" i="28" a="1"/>
  <c r="S21" i="28" a="1"/>
  <c r="S54" i="28" a="1"/>
  <c r="T35" i="20" a="1"/>
  <c r="T29" i="20" a="1"/>
  <c r="T46" i="22" a="1"/>
  <c r="T25" i="22" a="1"/>
  <c r="T26" i="22" a="1"/>
  <c r="T16" i="22" a="1"/>
  <c r="S33" i="26" a="1"/>
  <c r="S39" i="26" a="1"/>
  <c r="S29" i="26" a="1"/>
  <c r="T42" i="9" a="1"/>
  <c r="T23" i="9" a="1"/>
  <c r="T16" i="9" a="1"/>
  <c r="T48" i="9" a="1"/>
  <c r="T33" i="19" a="1"/>
  <c r="T40" i="19" a="1"/>
  <c r="T19" i="19" a="1"/>
  <c r="S49" i="29" a="1"/>
  <c r="S50" i="29" a="1"/>
  <c r="S35" i="29" a="1"/>
  <c r="S30" i="29" a="1"/>
  <c r="S39" i="24" a="1"/>
  <c r="S16" i="24" a="1"/>
  <c r="S41" i="24" a="1"/>
  <c r="S23" i="25" a="1"/>
  <c r="S35" i="25" a="1"/>
  <c r="S20" i="25" a="1"/>
  <c r="S15" i="25" a="1"/>
  <c r="T18" i="22" a="1"/>
  <c r="T36" i="22" a="1"/>
  <c r="T53" i="22" a="1"/>
  <c r="S51" i="26" a="1"/>
  <c r="S42" i="26" a="1"/>
  <c r="T43" i="9" a="1"/>
  <c r="T26" i="9" a="1"/>
  <c r="T54" i="19" a="1"/>
  <c r="T37" i="19" a="1"/>
  <c r="T42" i="19" a="1"/>
  <c r="S38" i="29" a="1"/>
  <c r="S31" i="29" a="1"/>
  <c r="S33" i="29" a="1"/>
  <c r="S47" i="24" a="1"/>
  <c r="T24" i="20" a="1"/>
  <c r="T23" i="22" a="1"/>
  <c r="S26" i="26" a="1"/>
  <c r="S36" i="26" a="1"/>
  <c r="S16" i="26" a="1"/>
  <c r="T46" i="9" a="1"/>
  <c r="T18" i="9" a="1"/>
  <c r="T21" i="9" a="1"/>
  <c r="T38" i="19" a="1"/>
  <c r="T29" i="19" a="1"/>
  <c r="S34" i="29" a="1"/>
  <c r="S53" i="29" a="1"/>
  <c r="S22" i="29" a="1"/>
  <c r="S26" i="24" a="1"/>
  <c r="S38" i="24" a="1"/>
  <c r="S23" i="24" a="1"/>
  <c r="S54" i="24" a="1"/>
  <c r="S16" i="25" a="1"/>
  <c r="S51" i="25" a="1"/>
  <c r="T20" i="22" a="1"/>
  <c r="S26" i="25" a="1"/>
  <c r="T19" i="23" a="1"/>
  <c r="T34" i="23" a="1"/>
  <c r="T53" i="23" a="1"/>
  <c r="S18" i="27" a="1"/>
  <c r="S26" i="27" a="1"/>
  <c r="S31" i="27" a="1"/>
  <c r="S25" i="27" a="1"/>
  <c r="T29" i="21" a="1"/>
  <c r="T48" i="21" a="1"/>
  <c r="T17" i="21" a="1"/>
  <c r="S22" i="28" a="1"/>
  <c r="S19" i="28" a="1"/>
  <c r="S50" i="28" a="1"/>
  <c r="S48" i="28" a="1"/>
  <c r="T47" i="20" a="1"/>
  <c r="T28" i="20" a="1"/>
  <c r="T23" i="20" a="1"/>
  <c r="T42" i="22" a="1"/>
  <c r="S28" i="26" a="1"/>
  <c r="T36" i="9" a="1"/>
  <c r="S32" i="29" a="1"/>
  <c r="S36" i="24" a="1"/>
  <c r="S48" i="24" a="1"/>
  <c r="S48" i="25" a="1"/>
  <c r="S17" i="25" a="1"/>
  <c r="S33" i="25" a="1"/>
  <c r="S25" i="25" a="1"/>
  <c r="T25" i="20" a="1"/>
  <c r="T46" i="20" a="1"/>
  <c r="T49" i="22" a="1"/>
  <c r="T52" i="23" a="1"/>
  <c r="S51" i="27" a="1"/>
  <c r="T33" i="21" a="1"/>
  <c r="T22" i="20" a="1"/>
  <c r="S47" i="26" a="1"/>
  <c r="T24" i="9" a="1"/>
  <c r="T25" i="19" a="1"/>
  <c r="S41" i="29" a="1"/>
  <c r="S43" i="24" a="1"/>
  <c r="S22" i="25" a="1"/>
  <c r="S22" i="25" l="1"/>
  <c r="S43" i="24"/>
  <c r="S41" i="29"/>
  <c r="T25" i="19"/>
  <c r="T24" i="9"/>
  <c r="S47" i="26"/>
  <c r="T22" i="20"/>
  <c r="T33" i="21"/>
  <c r="S51" i="27"/>
  <c r="T52" i="23"/>
  <c r="T49" i="22"/>
  <c r="T46" i="20"/>
  <c r="T25" i="20"/>
  <c r="S25" i="25"/>
  <c r="S33" i="25"/>
  <c r="S17" i="25"/>
  <c r="S48" i="25"/>
  <c r="S48" i="24"/>
  <c r="S36" i="24"/>
  <c r="S32" i="29"/>
  <c r="T36" i="9"/>
  <c r="S28" i="26"/>
  <c r="T42" i="22"/>
  <c r="T23" i="20"/>
  <c r="T28" i="20"/>
  <c r="T47" i="20"/>
  <c r="S48" i="28"/>
  <c r="S50" i="28"/>
  <c r="S19" i="28"/>
  <c r="S22" i="28"/>
  <c r="T17" i="21"/>
  <c r="T48" i="21"/>
  <c r="T29" i="21"/>
  <c r="S25" i="27"/>
  <c r="S31" i="27"/>
  <c r="S26" i="27"/>
  <c r="S18" i="27"/>
  <c r="T53" i="23"/>
  <c r="T34" i="23"/>
  <c r="T19" i="23"/>
  <c r="S26" i="25"/>
  <c r="T20" i="22"/>
  <c r="S51" i="25"/>
  <c r="S16" i="25"/>
  <c r="S54" i="24"/>
  <c r="S23" i="24"/>
  <c r="S38" i="24"/>
  <c r="S26" i="24"/>
  <c r="S22" i="29"/>
  <c r="S53" i="29"/>
  <c r="S34" i="29"/>
  <c r="T29" i="19"/>
  <c r="T38" i="19"/>
  <c r="T21" i="9"/>
  <c r="T18" i="9"/>
  <c r="T46" i="9"/>
  <c r="S16" i="26"/>
  <c r="S36" i="26"/>
  <c r="S26" i="26"/>
  <c r="T23" i="22"/>
  <c r="T24" i="20"/>
  <c r="S47" i="24"/>
  <c r="S33" i="29"/>
  <c r="S31" i="29"/>
  <c r="S38" i="29"/>
  <c r="T42" i="19"/>
  <c r="T37" i="19"/>
  <c r="T54" i="19"/>
  <c r="T26" i="9"/>
  <c r="T43" i="9"/>
  <c r="S42" i="26"/>
  <c r="S51" i="26"/>
  <c r="T53" i="22"/>
  <c r="T36" i="22"/>
  <c r="T18" i="22"/>
  <c r="S15" i="25"/>
  <c r="S20" i="25"/>
  <c r="S35" i="25"/>
  <c r="S23" i="25"/>
  <c r="S41" i="24"/>
  <c r="S16" i="24"/>
  <c r="S39" i="24"/>
  <c r="S30" i="29"/>
  <c r="S35" i="29"/>
  <c r="S50" i="29"/>
  <c r="S49" i="29"/>
  <c r="T19" i="19"/>
  <c r="T40" i="19"/>
  <c r="T33" i="19"/>
  <c r="T48" i="9"/>
  <c r="T16" i="9"/>
  <c r="T23" i="9"/>
  <c r="T42" i="9"/>
  <c r="S29" i="26"/>
  <c r="S39" i="26"/>
  <c r="S33" i="26"/>
  <c r="T16" i="22"/>
  <c r="T26" i="22"/>
  <c r="T25" i="22"/>
  <c r="T46" i="22"/>
  <c r="T29" i="20"/>
  <c r="T35" i="20"/>
  <c r="S54" i="28"/>
  <c r="S21" i="28"/>
  <c r="S17" i="28"/>
  <c r="S27" i="28"/>
  <c r="T49" i="21"/>
  <c r="T18" i="21"/>
  <c r="T50" i="21"/>
  <c r="S21" i="27"/>
  <c r="S15" i="27"/>
  <c r="S22" i="27"/>
  <c r="S40" i="27"/>
  <c r="T32" i="23"/>
  <c r="T42" i="23"/>
  <c r="T29" i="23"/>
  <c r="S43" i="25"/>
  <c r="S29" i="29"/>
  <c r="S50" i="26"/>
  <c r="T29" i="22"/>
  <c r="T27" i="22"/>
  <c r="S31" i="28"/>
  <c r="T45" i="23"/>
  <c r="S18" i="25"/>
  <c r="S42" i="25"/>
  <c r="S36" i="25"/>
  <c r="S29" i="25"/>
  <c r="S15" i="24"/>
  <c r="S52" i="24"/>
  <c r="S52" i="29"/>
  <c r="S37" i="29"/>
  <c r="S42" i="29"/>
  <c r="S19" i="29"/>
  <c r="T45" i="19"/>
  <c r="T21" i="19"/>
  <c r="T46" i="19"/>
  <c r="T31" i="9"/>
  <c r="T53" i="9"/>
  <c r="T33" i="9"/>
  <c r="T30" i="9"/>
  <c r="S37" i="26"/>
  <c r="S32" i="26"/>
  <c r="T50" i="22"/>
  <c r="T47" i="22"/>
  <c r="T32" i="22"/>
  <c r="T22" i="22"/>
  <c r="T31" i="20"/>
  <c r="T48" i="20"/>
  <c r="S47" i="28"/>
  <c r="S25" i="28"/>
  <c r="S35" i="28"/>
  <c r="S53" i="28"/>
  <c r="T15" i="21"/>
  <c r="T30" i="21"/>
  <c r="T20" i="21"/>
  <c r="S48" i="27"/>
  <c r="S54" i="27"/>
  <c r="S23" i="27"/>
  <c r="S45" i="27"/>
  <c r="T50" i="23"/>
  <c r="T51" i="23"/>
  <c r="T26" i="23"/>
  <c r="S40" i="25"/>
  <c r="S30" i="25"/>
  <c r="S35" i="24"/>
  <c r="S24" i="24"/>
  <c r="S45" i="29"/>
  <c r="S40" i="29"/>
  <c r="S24" i="29"/>
  <c r="S21" i="29"/>
  <c r="T23" i="19"/>
  <c r="T15" i="19"/>
  <c r="T22" i="19"/>
  <c r="T29" i="9"/>
  <c r="T50" i="9"/>
  <c r="T45" i="9"/>
  <c r="T27" i="9"/>
  <c r="S23" i="26"/>
  <c r="S17" i="26"/>
  <c r="S27" i="26"/>
  <c r="T41" i="22"/>
  <c r="T24" i="22"/>
  <c r="T35" i="22"/>
  <c r="T16" i="20"/>
  <c r="T45" i="20"/>
  <c r="T18" i="20"/>
  <c r="S36" i="28"/>
  <c r="S37" i="28"/>
  <c r="S43" i="28"/>
  <c r="S30" i="28"/>
  <c r="T54" i="21"/>
  <c r="T36" i="21"/>
  <c r="T47" i="21"/>
  <c r="S42" i="27"/>
  <c r="S44" i="27"/>
  <c r="S27" i="27"/>
  <c r="S29" i="27"/>
  <c r="T33" i="23"/>
  <c r="T43" i="23"/>
  <c r="T48" i="23"/>
  <c r="T37" i="22"/>
  <c r="T37" i="20"/>
  <c r="S49" i="28"/>
  <c r="S30" i="27"/>
  <c r="S21" i="25"/>
  <c r="S53" i="25"/>
  <c r="S24" i="25"/>
  <c r="S46" i="25"/>
  <c r="S27" i="24"/>
  <c r="S33" i="24"/>
  <c r="S40" i="24"/>
  <c r="S20" i="29"/>
  <c r="S36" i="29"/>
  <c r="S27" i="29"/>
  <c r="S28" i="29"/>
  <c r="T53" i="19"/>
  <c r="T36" i="19"/>
  <c r="T39" i="19"/>
  <c r="T47" i="9"/>
  <c r="T40" i="9"/>
  <c r="T25" i="9"/>
  <c r="T15" i="9"/>
  <c r="S46" i="26"/>
  <c r="S19" i="26"/>
  <c r="S25" i="26"/>
  <c r="T51" i="22"/>
  <c r="T28" i="22"/>
  <c r="T45" i="22"/>
  <c r="T21" i="22"/>
  <c r="T51" i="20"/>
  <c r="T15" i="20"/>
  <c r="T30" i="20"/>
  <c r="S18" i="28"/>
  <c r="S29" i="28"/>
  <c r="S33" i="28"/>
  <c r="S52" i="28"/>
  <c r="T45" i="21"/>
  <c r="T24" i="21"/>
  <c r="T34" i="21"/>
  <c r="S32" i="27"/>
  <c r="S50" i="27"/>
  <c r="S46" i="27"/>
  <c r="S24" i="27"/>
  <c r="T38" i="23"/>
  <c r="T23" i="23"/>
  <c r="T30" i="23"/>
  <c r="S35" i="26"/>
  <c r="T44" i="22"/>
  <c r="T53" i="20"/>
  <c r="T19" i="20"/>
  <c r="T17" i="20"/>
  <c r="T27" i="20"/>
  <c r="S26" i="28"/>
  <c r="S20" i="28"/>
  <c r="S42" i="28"/>
  <c r="T21" i="21"/>
  <c r="T16" i="21"/>
  <c r="T44" i="21"/>
  <c r="T51" i="21"/>
  <c r="S52" i="27"/>
  <c r="S49" i="27"/>
  <c r="T54" i="23"/>
  <c r="T46" i="23"/>
  <c r="T27" i="23"/>
  <c r="T28" i="23"/>
  <c r="T52" i="22"/>
  <c r="S44" i="25"/>
  <c r="S49" i="24"/>
  <c r="S44" i="29"/>
  <c r="T27" i="19"/>
  <c r="T21" i="20"/>
  <c r="T31" i="23"/>
  <c r="S33" i="27"/>
  <c r="T16" i="23"/>
  <c r="S28" i="25"/>
  <c r="S37" i="24"/>
  <c r="S26" i="29"/>
  <c r="T16" i="19"/>
  <c r="T19" i="9"/>
  <c r="S43" i="26"/>
  <c r="S21" i="26"/>
  <c r="S38" i="26"/>
  <c r="T17" i="22"/>
  <c r="S54" i="25"/>
  <c r="S34" i="25"/>
  <c r="S30" i="24"/>
  <c r="S32" i="24"/>
  <c r="S45" i="24"/>
  <c r="S39" i="29"/>
  <c r="S47" i="29"/>
  <c r="T24" i="19"/>
  <c r="T28" i="19"/>
  <c r="T32" i="19"/>
  <c r="T54" i="9"/>
  <c r="T39" i="9"/>
  <c r="T34" i="9"/>
  <c r="S22" i="26"/>
  <c r="S44" i="26"/>
  <c r="S24" i="26"/>
  <c r="T19" i="22"/>
  <c r="T48" i="22"/>
  <c r="T41" i="20"/>
  <c r="T49" i="20"/>
  <c r="T26" i="20"/>
  <c r="S34" i="28"/>
  <c r="S38" i="28"/>
  <c r="T22" i="21"/>
  <c r="T26" i="21"/>
  <c r="T25" i="21"/>
  <c r="S19" i="27"/>
  <c r="S17" i="27"/>
  <c r="T47" i="23"/>
  <c r="T37" i="23"/>
  <c r="T49" i="23"/>
  <c r="S27" i="25"/>
  <c r="S49" i="25"/>
  <c r="S29" i="24"/>
  <c r="S20" i="24"/>
  <c r="S50" i="24"/>
  <c r="S44" i="24"/>
  <c r="S25" i="29"/>
  <c r="S46" i="29"/>
  <c r="T51" i="19"/>
  <c r="T31" i="19"/>
  <c r="T50" i="19"/>
  <c r="T26" i="19"/>
  <c r="T38" i="9"/>
  <c r="T22" i="9"/>
  <c r="T52" i="9"/>
  <c r="S49" i="26"/>
  <c r="S53" i="26"/>
  <c r="S15" i="26"/>
  <c r="S18" i="26"/>
  <c r="T38" i="22"/>
  <c r="T39" i="22"/>
  <c r="T31" i="22"/>
  <c r="T36" i="20"/>
  <c r="T34" i="20"/>
  <c r="T38" i="20"/>
  <c r="T42" i="20"/>
  <c r="S41" i="28"/>
  <c r="S15" i="28"/>
  <c r="T52" i="21"/>
  <c r="T39" i="21"/>
  <c r="T43" i="21"/>
  <c r="T23" i="21"/>
  <c r="S53" i="27"/>
  <c r="S36" i="27"/>
  <c r="S39" i="27"/>
  <c r="T40" i="23"/>
  <c r="T20" i="23"/>
  <c r="T22" i="23"/>
  <c r="S38" i="25"/>
  <c r="S16" i="29"/>
  <c r="T44" i="9"/>
  <c r="T50" i="20"/>
  <c r="T35" i="21"/>
  <c r="S47" i="25"/>
  <c r="S34" i="24"/>
  <c r="S53" i="24"/>
  <c r="S42" i="24"/>
  <c r="T20" i="19"/>
  <c r="T28" i="9"/>
  <c r="S37" i="25"/>
  <c r="S25" i="24"/>
  <c r="S19" i="24"/>
  <c r="S21" i="24"/>
  <c r="S15" i="29"/>
  <c r="T49" i="19"/>
  <c r="T48" i="19"/>
  <c r="T35" i="19"/>
  <c r="T32" i="9"/>
  <c r="T49" i="9"/>
  <c r="T35" i="9"/>
  <c r="S41" i="26"/>
  <c r="S31" i="26"/>
  <c r="S44" i="28"/>
  <c r="S39" i="25"/>
  <c r="S31" i="24"/>
  <c r="S23" i="29"/>
  <c r="T52" i="19"/>
  <c r="T30" i="19"/>
  <c r="T41" i="9"/>
  <c r="T40" i="22"/>
  <c r="S51" i="28"/>
  <c r="S35" i="27"/>
  <c r="T17" i="19"/>
  <c r="T37" i="9"/>
  <c r="S41" i="25"/>
  <c r="S54" i="29"/>
  <c r="S52" i="26"/>
  <c r="T54" i="22"/>
  <c r="T34" i="22"/>
  <c r="T52" i="20"/>
  <c r="T43" i="20"/>
  <c r="T39" i="20"/>
  <c r="T44" i="20"/>
  <c r="S23" i="28"/>
  <c r="S39" i="28"/>
  <c r="T31" i="21"/>
  <c r="T46" i="21"/>
  <c r="T40" i="21"/>
  <c r="T32" i="21"/>
  <c r="S16" i="27"/>
  <c r="S41" i="27"/>
  <c r="S43" i="27"/>
  <c r="T17" i="23"/>
  <c r="T36" i="23"/>
  <c r="T18" i="23"/>
  <c r="T25" i="23"/>
  <c r="S31" i="25"/>
  <c r="S19" i="25"/>
  <c r="S32" i="25"/>
  <c r="S51" i="24"/>
  <c r="S17" i="24"/>
  <c r="S46" i="24"/>
  <c r="S28" i="24"/>
  <c r="S51" i="29"/>
  <c r="S18" i="29"/>
  <c r="S48" i="29"/>
  <c r="T41" i="19"/>
  <c r="T18" i="19"/>
  <c r="T34" i="19"/>
  <c r="T44" i="19"/>
  <c r="T17" i="9"/>
  <c r="T20" i="9"/>
  <c r="T51" i="9"/>
  <c r="S40" i="26"/>
  <c r="S34" i="26"/>
  <c r="S30" i="26"/>
  <c r="S48" i="26"/>
  <c r="T30" i="22"/>
  <c r="T15" i="22"/>
  <c r="T43" i="22"/>
  <c r="T32" i="20"/>
  <c r="T20" i="20"/>
  <c r="T33" i="20"/>
  <c r="T40" i="20"/>
  <c r="S40" i="28"/>
  <c r="S45" i="28"/>
  <c r="S32" i="28"/>
  <c r="T42" i="21"/>
  <c r="T27" i="21"/>
  <c r="T37" i="21"/>
  <c r="T53" i="21"/>
  <c r="S20" i="27"/>
  <c r="S37" i="27"/>
  <c r="S28" i="27"/>
  <c r="T21" i="23"/>
  <c r="T24" i="23"/>
  <c r="T35" i="23"/>
  <c r="T44" i="23"/>
  <c r="S18" i="24"/>
  <c r="S54" i="26"/>
  <c r="S24" i="28"/>
  <c r="S50" i="25"/>
  <c r="S17" i="29"/>
  <c r="S45" i="25"/>
  <c r="S22" i="24"/>
  <c r="S43" i="29"/>
  <c r="T47" i="19"/>
  <c r="S45" i="26"/>
  <c r="S52" i="25"/>
  <c r="T43" i="19"/>
  <c r="S20" i="26"/>
  <c r="T33" i="22"/>
  <c r="T54" i="20"/>
  <c r="S28" i="28"/>
  <c r="S46" i="28"/>
  <c r="S16" i="28"/>
  <c r="T19" i="21"/>
  <c r="T28" i="21"/>
  <c r="T38" i="21"/>
  <c r="T41" i="21"/>
  <c r="S34" i="27"/>
  <c r="S47" i="27"/>
  <c r="S38" i="27"/>
  <c r="T41" i="23"/>
  <c r="T39" i="23"/>
  <c r="T15" i="23"/>
  <c r="V11" i="19"/>
  <c r="U12" i="19"/>
  <c r="V11" i="20"/>
  <c r="U12" i="20"/>
  <c r="T12" i="24"/>
  <c r="U11" i="24"/>
  <c r="V11" i="9"/>
  <c r="U12" i="9"/>
  <c r="U11" i="26"/>
  <c r="T12" i="26"/>
  <c r="U12" i="22"/>
  <c r="V11" i="22"/>
  <c r="U11" i="28"/>
  <c r="T12" i="28"/>
  <c r="U11" i="27"/>
  <c r="T12" i="27"/>
  <c r="U11" i="25"/>
  <c r="T12" i="25"/>
  <c r="U12" i="23"/>
  <c r="V11" i="23"/>
  <c r="V11" i="21"/>
  <c r="U12" i="21"/>
  <c r="T12" i="29"/>
  <c r="U11" i="29"/>
  <c r="U32" i="19" a="1"/>
  <c r="U31" i="19" a="1"/>
  <c r="U51" i="19" a="1"/>
  <c r="U45" i="19" a="1"/>
  <c r="U42" i="20" a="1"/>
  <c r="U51" i="20" a="1"/>
  <c r="U54" i="20" a="1"/>
  <c r="T34" i="24" a="1"/>
  <c r="T46" i="24" a="1"/>
  <c r="T29" i="24" a="1"/>
  <c r="T27" i="24" a="1"/>
  <c r="U16" i="9" a="1"/>
  <c r="U22" i="9" a="1"/>
  <c r="U23" i="9" a="1"/>
  <c r="T31" i="26" a="1"/>
  <c r="T18" i="26" a="1"/>
  <c r="T19" i="26" a="1"/>
  <c r="T33" i="26" a="1"/>
  <c r="U39" i="22" a="1"/>
  <c r="U38" i="22" a="1"/>
  <c r="T50" i="28" a="1"/>
  <c r="T22" i="28" a="1"/>
  <c r="T41" i="28" a="1"/>
  <c r="T25" i="28" a="1"/>
  <c r="T18" i="27" a="1"/>
  <c r="T19" i="27" a="1"/>
  <c r="T25" i="27" a="1"/>
  <c r="T50" i="25" a="1"/>
  <c r="T43" i="25" a="1"/>
  <c r="T16" i="25" a="1"/>
  <c r="T17" i="25" a="1"/>
  <c r="U37" i="23" a="1"/>
  <c r="U51" i="23" a="1"/>
  <c r="U18" i="23" a="1"/>
  <c r="U50" i="21" a="1"/>
  <c r="U32" i="21" a="1"/>
  <c r="U45" i="21" a="1"/>
  <c r="U44" i="21" a="1"/>
  <c r="T40" i="29" a="1"/>
  <c r="T22" i="29" a="1"/>
  <c r="T49" i="29" a="1"/>
  <c r="T54" i="25" a="1"/>
  <c r="U38" i="23" a="1"/>
  <c r="U49" i="21" a="1"/>
  <c r="U17" i="21" a="1"/>
  <c r="T28" i="29" a="1"/>
  <c r="T35" i="29" a="1"/>
  <c r="U35" i="19" a="1"/>
  <c r="T47" i="24" a="1"/>
  <c r="U27" i="9" a="1"/>
  <c r="T34" i="26" a="1"/>
  <c r="U18" i="22" a="1"/>
  <c r="T51" i="25" a="1"/>
  <c r="U19" i="23" a="1"/>
  <c r="U46" i="21" a="1"/>
  <c r="T27" i="29" a="1"/>
  <c r="U52" i="9" a="1"/>
  <c r="U33" i="22" a="1"/>
  <c r="T43" i="28" a="1"/>
  <c r="T18" i="28" a="1"/>
  <c r="T33" i="28" a="1"/>
  <c r="T39" i="27" a="1"/>
  <c r="T27" i="27" a="1"/>
  <c r="T29" i="25" a="1"/>
  <c r="U29" i="19" a="1"/>
  <c r="U43" i="19" a="1"/>
  <c r="U46" i="19" a="1"/>
  <c r="U16" i="19" a="1"/>
  <c r="U48" i="20" a="1"/>
  <c r="U47" i="20" a="1"/>
  <c r="T41" i="24" a="1"/>
  <c r="T49" i="24" a="1"/>
  <c r="T54" i="24" a="1"/>
  <c r="T43" i="24" a="1"/>
  <c r="U19" i="9" a="1"/>
  <c r="U26" i="9" a="1"/>
  <c r="T26" i="26" a="1"/>
  <c r="T35" i="26" a="1"/>
  <c r="T39" i="26" a="1"/>
  <c r="T38" i="26" a="1"/>
  <c r="U46" i="22" a="1"/>
  <c r="U17" i="22" a="1"/>
  <c r="U20" i="22" a="1"/>
  <c r="T20" i="28" a="1"/>
  <c r="T24" i="28" a="1"/>
  <c r="T53" i="28" a="1"/>
  <c r="T46" i="28" a="1"/>
  <c r="T24" i="27" a="1"/>
  <c r="T29" i="27" a="1"/>
  <c r="T52" i="27" a="1"/>
  <c r="T25" i="25" a="1"/>
  <c r="T36" i="25" a="1"/>
  <c r="T47" i="25" a="1"/>
  <c r="U20" i="23" a="1"/>
  <c r="U35" i="23" a="1"/>
  <c r="U23" i="21" a="1"/>
  <c r="T32" i="29" a="1"/>
  <c r="U18" i="19" a="1"/>
  <c r="T35" i="24" a="1"/>
  <c r="U18" i="9" a="1"/>
  <c r="T44" i="26" a="1"/>
  <c r="T52" i="26" a="1"/>
  <c r="U53" i="22" a="1"/>
  <c r="U32" i="22" a="1"/>
  <c r="T36" i="28" a="1"/>
  <c r="T15" i="28" a="1"/>
  <c r="T39" i="28" a="1"/>
  <c r="T20" i="27" a="1"/>
  <c r="T42" i="27" a="1"/>
  <c r="T35" i="25" a="1"/>
  <c r="U36" i="23" a="1"/>
  <c r="U48" i="21" a="1"/>
  <c r="U36" i="21" a="1"/>
  <c r="T19" i="29" a="1"/>
  <c r="U52" i="19" a="1"/>
  <c r="U15" i="9" a="1"/>
  <c r="T46" i="26" a="1"/>
  <c r="T40" i="26" a="1"/>
  <c r="T36" i="26" a="1"/>
  <c r="T25" i="26" a="1"/>
  <c r="U36" i="22" a="1"/>
  <c r="U23" i="19" a="1"/>
  <c r="U21" i="19" a="1"/>
  <c r="U29" i="20" a="1"/>
  <c r="U45" i="20" a="1"/>
  <c r="U28" i="20" a="1"/>
  <c r="T30" i="24" a="1"/>
  <c r="T23" i="24" a="1"/>
  <c r="U41" i="9" a="1"/>
  <c r="T15" i="26" a="1"/>
  <c r="T22" i="27" a="1"/>
  <c r="T45" i="25" a="1"/>
  <c r="U29" i="23" a="1"/>
  <c r="U40" i="21" a="1"/>
  <c r="T21" i="29" a="1"/>
  <c r="U48" i="19" a="1"/>
  <c r="T49" i="25" a="1"/>
  <c r="T46" i="25" a="1"/>
  <c r="U41" i="23" a="1"/>
  <c r="U49" i="23" a="1"/>
  <c r="U31" i="23" a="1"/>
  <c r="U38" i="21" a="1"/>
  <c r="U37" i="21" a="1"/>
  <c r="U22" i="21" a="1"/>
  <c r="T38" i="29" a="1"/>
  <c r="T54" i="29" a="1"/>
  <c r="U47" i="19" a="1"/>
  <c r="U15" i="19" a="1"/>
  <c r="U16" i="20" a="1"/>
  <c r="U33" i="20" a="1"/>
  <c r="U37" i="20" a="1"/>
  <c r="T15" i="24" a="1"/>
  <c r="T40" i="24" a="1"/>
  <c r="T32" i="24" a="1"/>
  <c r="T45" i="24" a="1"/>
  <c r="U30" i="9" a="1"/>
  <c r="U37" i="22" a="1"/>
  <c r="T34" i="28" a="1"/>
  <c r="T26" i="25" a="1"/>
  <c r="U24" i="21" a="1"/>
  <c r="U25" i="19" a="1"/>
  <c r="U27" i="19" a="1"/>
  <c r="U50" i="19" a="1"/>
  <c r="U44" i="19" a="1"/>
  <c r="U21" i="20" a="1"/>
  <c r="U24" i="20" a="1"/>
  <c r="U27" i="20" a="1"/>
  <c r="T53" i="24" a="1"/>
  <c r="T19" i="24" a="1"/>
  <c r="T26" i="24" a="1"/>
  <c r="T22" i="24" a="1"/>
  <c r="U40" i="9" a="1"/>
  <c r="U32" i="9" a="1"/>
  <c r="U34" i="9" a="1"/>
  <c r="T47" i="26" a="1"/>
  <c r="T27" i="26" a="1"/>
  <c r="T42" i="26" a="1"/>
  <c r="T54" i="26" a="1"/>
  <c r="U41" i="22" a="1"/>
  <c r="U49" i="22" a="1"/>
  <c r="U47" i="22" a="1"/>
  <c r="T51" i="28" a="1"/>
  <c r="T30" i="28" a="1"/>
  <c r="T52" i="28" a="1"/>
  <c r="T17" i="28" a="1"/>
  <c r="T44" i="27" a="1"/>
  <c r="T28" i="27" a="1"/>
  <c r="T16" i="27" a="1"/>
  <c r="T42" i="25" a="1"/>
  <c r="T37" i="25" a="1"/>
  <c r="T18" i="25" a="1"/>
  <c r="T31" i="25" a="1"/>
  <c r="U27" i="23" a="1"/>
  <c r="U34" i="23" a="1"/>
  <c r="U40" i="23" a="1"/>
  <c r="U31" i="21" a="1"/>
  <c r="U41" i="21" a="1"/>
  <c r="U42" i="21" a="1"/>
  <c r="U54" i="21" a="1"/>
  <c r="T17" i="29" a="1"/>
  <c r="T47" i="29" a="1"/>
  <c r="T36" i="29" a="1"/>
  <c r="U34" i="19" a="1"/>
  <c r="T25" i="24" a="1"/>
  <c r="T32" i="26" a="1"/>
  <c r="T16" i="28" a="1"/>
  <c r="T34" i="25" a="1"/>
  <c r="U24" i="23" a="1"/>
  <c r="U52" i="21" a="1"/>
  <c r="T43" i="29" a="1"/>
  <c r="T44" i="29" a="1"/>
  <c r="U17" i="19" a="1"/>
  <c r="U41" i="19" a="1"/>
  <c r="U38" i="19" a="1"/>
  <c r="U24" i="19" a="1"/>
  <c r="U50" i="20" a="1"/>
  <c r="U22" i="20" a="1"/>
  <c r="U19" i="20" a="1"/>
  <c r="T39" i="24" a="1"/>
  <c r="T51" i="24" a="1"/>
  <c r="T42" i="24" a="1"/>
  <c r="U39" i="9" a="1"/>
  <c r="U25" i="9" a="1"/>
  <c r="U29" i="9" a="1"/>
  <c r="T48" i="26" a="1"/>
  <c r="T43" i="26" a="1"/>
  <c r="T21" i="26" a="1"/>
  <c r="T41" i="26" a="1"/>
  <c r="U31" i="22" a="1"/>
  <c r="U27" i="22" a="1"/>
  <c r="T44" i="28" a="1"/>
  <c r="T28" i="28" a="1"/>
  <c r="T37" i="28" a="1"/>
  <c r="T38" i="27" a="1"/>
  <c r="T47" i="27" a="1"/>
  <c r="T49" i="27" a="1"/>
  <c r="T41" i="25" a="1"/>
  <c r="T32" i="25" a="1"/>
  <c r="T24" i="25" a="1"/>
  <c r="U54" i="23" a="1"/>
  <c r="U22" i="23" a="1"/>
  <c r="U17" i="23" a="1"/>
  <c r="U34" i="21" a="1"/>
  <c r="U27" i="21" a="1"/>
  <c r="U16" i="21" a="1"/>
  <c r="U39" i="21" a="1"/>
  <c r="T45" i="29" a="1"/>
  <c r="T39" i="29" a="1"/>
  <c r="T25" i="29" a="1"/>
  <c r="U37" i="9" a="1"/>
  <c r="U42" i="22" a="1"/>
  <c r="T49" i="28" a="1"/>
  <c r="T15" i="25" a="1"/>
  <c r="U51" i="21" a="1"/>
  <c r="T26" i="29" a="1"/>
  <c r="T29" i="29" a="1"/>
  <c r="T48" i="28" a="1"/>
  <c r="U42" i="23" a="1"/>
  <c r="U43" i="21" a="1"/>
  <c r="T37" i="29" a="1"/>
  <c r="U46" i="9" a="1"/>
  <c r="U22" i="22" a="1"/>
  <c r="U40" i="22" a="1"/>
  <c r="T47" i="28" a="1"/>
  <c r="T23" i="27" a="1"/>
  <c r="T27" i="25" a="1"/>
  <c r="U32" i="23" a="1"/>
  <c r="U28" i="21" a="1"/>
  <c r="T30" i="29" a="1"/>
  <c r="T46" i="29" a="1"/>
  <c r="U33" i="19" a="1"/>
  <c r="U22" i="19" a="1"/>
  <c r="U19" i="19" a="1"/>
  <c r="U49" i="20" a="1"/>
  <c r="U30" i="20" a="1"/>
  <c r="U53" i="20" a="1"/>
  <c r="T17" i="24" a="1"/>
  <c r="T48" i="24" a="1"/>
  <c r="T52" i="24" a="1"/>
  <c r="U43" i="9" a="1"/>
  <c r="U20" i="9" a="1"/>
  <c r="U49" i="9" a="1"/>
  <c r="U53" i="9" a="1"/>
  <c r="T49" i="26" a="1"/>
  <c r="T37" i="26" a="1"/>
  <c r="U26" i="22" a="1"/>
  <c r="U45" i="22" a="1"/>
  <c r="U16" i="22" a="1"/>
  <c r="U34" i="22" a="1"/>
  <c r="T35" i="28" a="1"/>
  <c r="T21" i="28" a="1"/>
  <c r="T23" i="28" a="1"/>
  <c r="T35" i="27" a="1"/>
  <c r="T46" i="27" a="1"/>
  <c r="T51" i="27" a="1"/>
  <c r="T37" i="27" a="1"/>
  <c r="T22" i="25" a="1"/>
  <c r="T38" i="25" a="1"/>
  <c r="T30" i="25" a="1"/>
  <c r="U28" i="23" a="1"/>
  <c r="U15" i="23" a="1"/>
  <c r="U46" i="23" a="1"/>
  <c r="U33" i="23" a="1"/>
  <c r="U15" i="21" a="1"/>
  <c r="U33" i="21" a="1"/>
  <c r="T20" i="29" a="1"/>
  <c r="T31" i="29" a="1"/>
  <c r="T16" i="29" a="1"/>
  <c r="U47" i="9" a="1"/>
  <c r="T20" i="26" a="1"/>
  <c r="T38" i="28" a="1"/>
  <c r="T29" i="28" a="1"/>
  <c r="T40" i="27" a="1"/>
  <c r="U45" i="23" a="1"/>
  <c r="U29" i="21" a="1"/>
  <c r="U18" i="21" a="1"/>
  <c r="T53" i="29" a="1"/>
  <c r="T33" i="29" a="1"/>
  <c r="T24" i="29" a="1"/>
  <c r="T23" i="29" a="1"/>
  <c r="U46" i="20" a="1"/>
  <c r="U40" i="20" a="1"/>
  <c r="U41" i="20" a="1"/>
  <c r="T38" i="24" a="1"/>
  <c r="T33" i="24" a="1"/>
  <c r="T24" i="24" a="1"/>
  <c r="U51" i="9" a="1"/>
  <c r="T51" i="26" a="1"/>
  <c r="T31" i="28" a="1"/>
  <c r="T45" i="27" a="1"/>
  <c r="T32" i="27" a="1"/>
  <c r="T21" i="27" a="1"/>
  <c r="T20" i="25" a="1"/>
  <c r="U53" i="23" a="1"/>
  <c r="U43" i="23" a="1"/>
  <c r="U21" i="21" a="1"/>
  <c r="T52" i="29" a="1"/>
  <c r="T28" i="25" a="1"/>
  <c r="T34" i="29" a="1"/>
  <c r="U35" i="21" a="1"/>
  <c r="U28" i="19" a="1"/>
  <c r="U53" i="19" a="1"/>
  <c r="U36" i="19" a="1"/>
  <c r="U17" i="20" a="1"/>
  <c r="U26" i="20" a="1"/>
  <c r="U20" i="20" a="1"/>
  <c r="U39" i="20" a="1"/>
  <c r="T28" i="24" a="1"/>
  <c r="T21" i="24" a="1"/>
  <c r="T44" i="24" a="1"/>
  <c r="U17" i="9" a="1"/>
  <c r="U24" i="9" a="1"/>
  <c r="U45" i="9" a="1"/>
  <c r="T30" i="26" a="1"/>
  <c r="T29" i="26" a="1"/>
  <c r="U19" i="22" a="1"/>
  <c r="U44" i="22" a="1"/>
  <c r="U30" i="22" a="1"/>
  <c r="U54" i="22" a="1"/>
  <c r="T26" i="28" a="1"/>
  <c r="T26" i="27" a="1"/>
  <c r="T48" i="27" a="1"/>
  <c r="T30" i="27" a="1"/>
  <c r="T23" i="25" a="1"/>
  <c r="T39" i="25" a="1"/>
  <c r="T21" i="25" a="1"/>
  <c r="U50" i="23" a="1"/>
  <c r="U30" i="23" a="1"/>
  <c r="U52" i="23" a="1"/>
  <c r="U20" i="21" a="1"/>
  <c r="U35" i="9" a="1"/>
  <c r="U28" i="9" a="1"/>
  <c r="T17" i="26" a="1"/>
  <c r="T45" i="26" a="1"/>
  <c r="U43" i="22" a="1"/>
  <c r="U25" i="22" a="1"/>
  <c r="U48" i="22" a="1"/>
  <c r="T54" i="28" a="1"/>
  <c r="T17" i="27" a="1"/>
  <c r="T53" i="25" a="1"/>
  <c r="U25" i="23" a="1"/>
  <c r="U53" i="21" a="1"/>
  <c r="T48" i="29" a="1"/>
  <c r="T41" i="29" a="1"/>
  <c r="T40" i="28" a="1"/>
  <c r="T15" i="29" a="1"/>
  <c r="U35" i="20" a="1"/>
  <c r="U42" i="9" a="1"/>
  <c r="U52" i="22" a="1"/>
  <c r="T42" i="28" a="1"/>
  <c r="T33" i="27" a="1"/>
  <c r="U26" i="23" a="1"/>
  <c r="U49" i="19" a="1"/>
  <c r="U40" i="19" a="1"/>
  <c r="U32" i="20" a="1"/>
  <c r="T18" i="29" a="1"/>
  <c r="U44" i="23" a="1"/>
  <c r="U16" i="23" a="1"/>
  <c r="U19" i="21" a="1"/>
  <c r="U54" i="19" a="1"/>
  <c r="U34" i="20" a="1"/>
  <c r="U15" i="20" a="1"/>
  <c r="T31" i="24" a="1"/>
  <c r="T53" i="27" a="1"/>
  <c r="T33" i="25" a="1"/>
  <c r="U42" i="19" a="1"/>
  <c r="U37" i="19" a="1"/>
  <c r="U30" i="19" a="1"/>
  <c r="U38" i="20" a="1"/>
  <c r="U18" i="20" a="1"/>
  <c r="U43" i="20" a="1"/>
  <c r="U23" i="20" a="1"/>
  <c r="T16" i="24" a="1"/>
  <c r="T20" i="24" a="1"/>
  <c r="U31" i="9" a="1"/>
  <c r="U54" i="9" a="1"/>
  <c r="U48" i="9" a="1"/>
  <c r="U21" i="9" a="1"/>
  <c r="T24" i="26" a="1"/>
  <c r="T22" i="26" a="1"/>
  <c r="T28" i="26" a="1"/>
  <c r="U23" i="22" a="1"/>
  <c r="U15" i="22" a="1"/>
  <c r="U29" i="22" a="1"/>
  <c r="U51" i="22" a="1"/>
  <c r="T32" i="28" a="1"/>
  <c r="T45" i="28" a="1"/>
  <c r="T19" i="28" a="1"/>
  <c r="T50" i="27" a="1"/>
  <c r="T43" i="27" a="1"/>
  <c r="T15" i="27" a="1"/>
  <c r="T52" i="25" a="1"/>
  <c r="T48" i="25" a="1"/>
  <c r="T19" i="25" a="1"/>
  <c r="U23" i="23" a="1"/>
  <c r="U39" i="23" a="1"/>
  <c r="U21" i="23" a="1"/>
  <c r="U30" i="21" a="1"/>
  <c r="U25" i="21" a="1"/>
  <c r="U47" i="21" a="1"/>
  <c r="T50" i="29" a="1"/>
  <c r="T42" i="29" a="1"/>
  <c r="T31" i="27" a="1"/>
  <c r="U26" i="19" a="1"/>
  <c r="U35" i="22" a="1"/>
  <c r="T54" i="27" a="1"/>
  <c r="U48" i="23" a="1"/>
  <c r="U39" i="19" a="1"/>
  <c r="U20" i="19" a="1"/>
  <c r="U44" i="20" a="1"/>
  <c r="U36" i="20" a="1"/>
  <c r="U25" i="20" a="1"/>
  <c r="U52" i="20" a="1"/>
  <c r="T37" i="24" a="1"/>
  <c r="T50" i="24" a="1"/>
  <c r="T18" i="24" a="1"/>
  <c r="U44" i="9" a="1"/>
  <c r="U33" i="9" a="1"/>
  <c r="U50" i="9" a="1"/>
  <c r="T16" i="26" a="1"/>
  <c r="T53" i="26" a="1"/>
  <c r="T23" i="26" a="1"/>
  <c r="U50" i="22" a="1"/>
  <c r="U28" i="22" a="1"/>
  <c r="U21" i="22" a="1"/>
  <c r="U24" i="22" a="1"/>
  <c r="T27" i="28" a="1"/>
  <c r="T34" i="27" a="1"/>
  <c r="T41" i="27" a="1"/>
  <c r="T36" i="27" a="1"/>
  <c r="T44" i="25" a="1"/>
  <c r="T40" i="25" a="1"/>
  <c r="U47" i="23" a="1"/>
  <c r="U26" i="21" a="1"/>
  <c r="T51" i="29" a="1"/>
  <c r="U31" i="20" a="1"/>
  <c r="T36" i="24" a="1"/>
  <c r="U38" i="9" a="1"/>
  <c r="U36" i="9" a="1"/>
  <c r="T50" i="26" a="1"/>
  <c r="T50" i="26" l="1"/>
  <c r="U36" i="9"/>
  <c r="U38" i="9"/>
  <c r="T36" i="24"/>
  <c r="U31" i="20"/>
  <c r="T51" i="29"/>
  <c r="U26" i="21"/>
  <c r="U47" i="23"/>
  <c r="T40" i="25"/>
  <c r="T44" i="25"/>
  <c r="T36" i="27"/>
  <c r="T41" i="27"/>
  <c r="T34" i="27"/>
  <c r="T27" i="28"/>
  <c r="U24" i="22"/>
  <c r="U21" i="22"/>
  <c r="U28" i="22"/>
  <c r="U50" i="22"/>
  <c r="T23" i="26"/>
  <c r="T53" i="26"/>
  <c r="T16" i="26"/>
  <c r="U50" i="9"/>
  <c r="U33" i="9"/>
  <c r="U44" i="9"/>
  <c r="T18" i="24"/>
  <c r="T50" i="24"/>
  <c r="T37" i="24"/>
  <c r="U52" i="20"/>
  <c r="U25" i="20"/>
  <c r="U36" i="20"/>
  <c r="U44" i="20"/>
  <c r="U20" i="19"/>
  <c r="U39" i="19"/>
  <c r="U48" i="23"/>
  <c r="T54" i="27"/>
  <c r="U35" i="22"/>
  <c r="U26" i="19"/>
  <c r="T31" i="27"/>
  <c r="T42" i="29"/>
  <c r="T50" i="29"/>
  <c r="U47" i="21"/>
  <c r="U25" i="21"/>
  <c r="U30" i="21"/>
  <c r="U21" i="23"/>
  <c r="U39" i="23"/>
  <c r="U23" i="23"/>
  <c r="T19" i="25"/>
  <c r="T48" i="25"/>
  <c r="T52" i="25"/>
  <c r="T15" i="27"/>
  <c r="T43" i="27"/>
  <c r="T50" i="27"/>
  <c r="T19" i="28"/>
  <c r="T45" i="28"/>
  <c r="T32" i="28"/>
  <c r="U51" i="22"/>
  <c r="U29" i="22"/>
  <c r="U15" i="22"/>
  <c r="U23" i="22"/>
  <c r="T28" i="26"/>
  <c r="T22" i="26"/>
  <c r="T24" i="26"/>
  <c r="U21" i="9"/>
  <c r="U48" i="9"/>
  <c r="U54" i="9"/>
  <c r="U31" i="9"/>
  <c r="T20" i="24"/>
  <c r="T16" i="24"/>
  <c r="U23" i="20"/>
  <c r="U43" i="20"/>
  <c r="U18" i="20"/>
  <c r="U38" i="20"/>
  <c r="U30" i="19"/>
  <c r="U37" i="19"/>
  <c r="U42" i="19"/>
  <c r="T33" i="25"/>
  <c r="T53" i="27"/>
  <c r="T31" i="24"/>
  <c r="U15" i="20"/>
  <c r="U34" i="20"/>
  <c r="U54" i="19"/>
  <c r="U19" i="21"/>
  <c r="U16" i="23"/>
  <c r="U44" i="23"/>
  <c r="T18" i="29"/>
  <c r="U32" i="20"/>
  <c r="U40" i="19"/>
  <c r="U49" i="19"/>
  <c r="U26" i="23"/>
  <c r="T33" i="27"/>
  <c r="T42" i="28"/>
  <c r="U52" i="22"/>
  <c r="U42" i="9"/>
  <c r="U35" i="20"/>
  <c r="T15" i="29"/>
  <c r="T40" i="28"/>
  <c r="T41" i="29"/>
  <c r="T48" i="29"/>
  <c r="U53" i="21"/>
  <c r="U25" i="23"/>
  <c r="T53" i="25"/>
  <c r="T17" i="27"/>
  <c r="T54" i="28"/>
  <c r="U48" i="22"/>
  <c r="U25" i="22"/>
  <c r="U43" i="22"/>
  <c r="T45" i="26"/>
  <c r="T17" i="26"/>
  <c r="U28" i="9"/>
  <c r="U35" i="9"/>
  <c r="U20" i="21"/>
  <c r="U52" i="23"/>
  <c r="U30" i="23"/>
  <c r="U50" i="23"/>
  <c r="T21" i="25"/>
  <c r="T39" i="25"/>
  <c r="T23" i="25"/>
  <c r="T30" i="27"/>
  <c r="T48" i="27"/>
  <c r="T26" i="27"/>
  <c r="T26" i="28"/>
  <c r="U54" i="22"/>
  <c r="U30" i="22"/>
  <c r="U44" i="22"/>
  <c r="U19" i="22"/>
  <c r="T29" i="26"/>
  <c r="T30" i="26"/>
  <c r="U45" i="9"/>
  <c r="U24" i="9"/>
  <c r="U17" i="9"/>
  <c r="T44" i="24"/>
  <c r="T21" i="24"/>
  <c r="T28" i="24"/>
  <c r="U39" i="20"/>
  <c r="U20" i="20"/>
  <c r="U26" i="20"/>
  <c r="U17" i="20"/>
  <c r="U36" i="19"/>
  <c r="U53" i="19"/>
  <c r="U28" i="19"/>
  <c r="U35" i="21"/>
  <c r="T34" i="29"/>
  <c r="T28" i="25"/>
  <c r="T52" i="29"/>
  <c r="U21" i="21"/>
  <c r="U43" i="23"/>
  <c r="U53" i="23"/>
  <c r="T20" i="25"/>
  <c r="T21" i="27"/>
  <c r="T32" i="27"/>
  <c r="T45" i="27"/>
  <c r="T31" i="28"/>
  <c r="T51" i="26"/>
  <c r="U51" i="9"/>
  <c r="T24" i="24"/>
  <c r="T33" i="24"/>
  <c r="T38" i="24"/>
  <c r="U41" i="20"/>
  <c r="U40" i="20"/>
  <c r="U46" i="20"/>
  <c r="T23" i="29"/>
  <c r="T24" i="29"/>
  <c r="T33" i="29"/>
  <c r="T53" i="29"/>
  <c r="U18" i="21"/>
  <c r="U29" i="21"/>
  <c r="U45" i="23"/>
  <c r="T40" i="27"/>
  <c r="T29" i="28"/>
  <c r="T38" i="28"/>
  <c r="T20" i="26"/>
  <c r="U47" i="9"/>
  <c r="T16" i="29"/>
  <c r="T31" i="29"/>
  <c r="T20" i="29"/>
  <c r="U33" i="21"/>
  <c r="U15" i="21"/>
  <c r="U33" i="23"/>
  <c r="U46" i="23"/>
  <c r="U15" i="23"/>
  <c r="U28" i="23"/>
  <c r="T30" i="25"/>
  <c r="T38" i="25"/>
  <c r="T22" i="25"/>
  <c r="T37" i="27"/>
  <c r="T51" i="27"/>
  <c r="T46" i="27"/>
  <c r="T35" i="27"/>
  <c r="T23" i="28"/>
  <c r="T21" i="28"/>
  <c r="T35" i="28"/>
  <c r="U34" i="22"/>
  <c r="U16" i="22"/>
  <c r="U45" i="22"/>
  <c r="U26" i="22"/>
  <c r="T37" i="26"/>
  <c r="T49" i="26"/>
  <c r="U53" i="9"/>
  <c r="U49" i="9"/>
  <c r="U20" i="9"/>
  <c r="U43" i="9"/>
  <c r="T52" i="24"/>
  <c r="T48" i="24"/>
  <c r="T17" i="24"/>
  <c r="U53" i="20"/>
  <c r="U30" i="20"/>
  <c r="U49" i="20"/>
  <c r="U19" i="19"/>
  <c r="U22" i="19"/>
  <c r="U33" i="19"/>
  <c r="T46" i="29"/>
  <c r="T30" i="29"/>
  <c r="U28" i="21"/>
  <c r="U32" i="23"/>
  <c r="T27" i="25"/>
  <c r="T23" i="27"/>
  <c r="T47" i="28"/>
  <c r="U40" i="22"/>
  <c r="U22" i="22"/>
  <c r="U46" i="9"/>
  <c r="T37" i="29"/>
  <c r="U43" i="21"/>
  <c r="U42" i="23"/>
  <c r="T48" i="28"/>
  <c r="T29" i="29"/>
  <c r="T26" i="29"/>
  <c r="U51" i="21"/>
  <c r="T15" i="25"/>
  <c r="T49" i="28"/>
  <c r="U42" i="22"/>
  <c r="U37" i="9"/>
  <c r="T25" i="29"/>
  <c r="T39" i="29"/>
  <c r="T45" i="29"/>
  <c r="U39" i="21"/>
  <c r="U16" i="21"/>
  <c r="U27" i="21"/>
  <c r="U34" i="21"/>
  <c r="U17" i="23"/>
  <c r="U22" i="23"/>
  <c r="U54" i="23"/>
  <c r="T24" i="25"/>
  <c r="T32" i="25"/>
  <c r="T41" i="25"/>
  <c r="T49" i="27"/>
  <c r="T47" i="27"/>
  <c r="T38" i="27"/>
  <c r="T37" i="28"/>
  <c r="T28" i="28"/>
  <c r="T44" i="28"/>
  <c r="U27" i="22"/>
  <c r="U31" i="22"/>
  <c r="T41" i="26"/>
  <c r="T21" i="26"/>
  <c r="T43" i="26"/>
  <c r="T48" i="26"/>
  <c r="U29" i="9"/>
  <c r="U25" i="9"/>
  <c r="U39" i="9"/>
  <c r="T42" i="24"/>
  <c r="T51" i="24"/>
  <c r="T39" i="24"/>
  <c r="U19" i="20"/>
  <c r="U22" i="20"/>
  <c r="U50" i="20"/>
  <c r="U24" i="19"/>
  <c r="U38" i="19"/>
  <c r="U41" i="19"/>
  <c r="U17" i="19"/>
  <c r="T44" i="29"/>
  <c r="T43" i="29"/>
  <c r="U52" i="21"/>
  <c r="U24" i="23"/>
  <c r="T34" i="25"/>
  <c r="T16" i="28"/>
  <c r="T32" i="26"/>
  <c r="T25" i="24"/>
  <c r="U34" i="19"/>
  <c r="T36" i="29"/>
  <c r="T47" i="29"/>
  <c r="T17" i="29"/>
  <c r="U54" i="21"/>
  <c r="U42" i="21"/>
  <c r="U41" i="21"/>
  <c r="U31" i="21"/>
  <c r="U40" i="23"/>
  <c r="U34" i="23"/>
  <c r="U27" i="23"/>
  <c r="T31" i="25"/>
  <c r="T18" i="25"/>
  <c r="T37" i="25"/>
  <c r="T42" i="25"/>
  <c r="T16" i="27"/>
  <c r="T28" i="27"/>
  <c r="T44" i="27"/>
  <c r="T17" i="28"/>
  <c r="T52" i="28"/>
  <c r="T30" i="28"/>
  <c r="T51" i="28"/>
  <c r="U47" i="22"/>
  <c r="U49" i="22"/>
  <c r="U41" i="22"/>
  <c r="T54" i="26"/>
  <c r="T42" i="26"/>
  <c r="T27" i="26"/>
  <c r="T47" i="26"/>
  <c r="U34" i="9"/>
  <c r="U32" i="9"/>
  <c r="U40" i="9"/>
  <c r="T22" i="24"/>
  <c r="T26" i="24"/>
  <c r="T19" i="24"/>
  <c r="T53" i="24"/>
  <c r="U27" i="20"/>
  <c r="U24" i="20"/>
  <c r="U21" i="20"/>
  <c r="U44" i="19"/>
  <c r="U50" i="19"/>
  <c r="U27" i="19"/>
  <c r="U25" i="19"/>
  <c r="U24" i="21"/>
  <c r="T26" i="25"/>
  <c r="T34" i="28"/>
  <c r="U37" i="22"/>
  <c r="U30" i="9"/>
  <c r="T45" i="24"/>
  <c r="T32" i="24"/>
  <c r="T40" i="24"/>
  <c r="T15" i="24"/>
  <c r="U37" i="20"/>
  <c r="U33" i="20"/>
  <c r="U16" i="20"/>
  <c r="U15" i="19"/>
  <c r="U47" i="19"/>
  <c r="T54" i="29"/>
  <c r="T38" i="29"/>
  <c r="U22" i="21"/>
  <c r="U37" i="21"/>
  <c r="U38" i="21"/>
  <c r="U31" i="23"/>
  <c r="U49" i="23"/>
  <c r="U41" i="23"/>
  <c r="T46" i="25"/>
  <c r="T49" i="25"/>
  <c r="U48" i="19"/>
  <c r="T21" i="29"/>
  <c r="U40" i="21"/>
  <c r="U29" i="23"/>
  <c r="T45" i="25"/>
  <c r="T22" i="27"/>
  <c r="T15" i="26"/>
  <c r="U41" i="9"/>
  <c r="T23" i="24"/>
  <c r="T30" i="24"/>
  <c r="U28" i="20"/>
  <c r="U45" i="20"/>
  <c r="U29" i="20"/>
  <c r="U21" i="19"/>
  <c r="U23" i="19"/>
  <c r="U36" i="22"/>
  <c r="T25" i="26"/>
  <c r="T36" i="26"/>
  <c r="T40" i="26"/>
  <c r="T46" i="26"/>
  <c r="U15" i="9"/>
  <c r="U52" i="19"/>
  <c r="T19" i="29"/>
  <c r="U36" i="21"/>
  <c r="U48" i="21"/>
  <c r="U36" i="23"/>
  <c r="T35" i="25"/>
  <c r="T42" i="27"/>
  <c r="T20" i="27"/>
  <c r="T39" i="28"/>
  <c r="T15" i="28"/>
  <c r="T36" i="28"/>
  <c r="U32" i="22"/>
  <c r="U53" i="22"/>
  <c r="T52" i="26"/>
  <c r="T44" i="26"/>
  <c r="U18" i="9"/>
  <c r="T35" i="24"/>
  <c r="U18" i="19"/>
  <c r="T32" i="29"/>
  <c r="U23" i="21"/>
  <c r="U35" i="23"/>
  <c r="U20" i="23"/>
  <c r="T47" i="25"/>
  <c r="T36" i="25"/>
  <c r="T25" i="25"/>
  <c r="T52" i="27"/>
  <c r="T29" i="27"/>
  <c r="T24" i="27"/>
  <c r="T46" i="28"/>
  <c r="T53" i="28"/>
  <c r="T24" i="28"/>
  <c r="T20" i="28"/>
  <c r="U20" i="22"/>
  <c r="U17" i="22"/>
  <c r="U46" i="22"/>
  <c r="T38" i="26"/>
  <c r="T39" i="26"/>
  <c r="T35" i="26"/>
  <c r="T26" i="26"/>
  <c r="U26" i="9"/>
  <c r="U19" i="9"/>
  <c r="T43" i="24"/>
  <c r="T54" i="24"/>
  <c r="T49" i="24"/>
  <c r="T41" i="24"/>
  <c r="U47" i="20"/>
  <c r="U48" i="20"/>
  <c r="U16" i="19"/>
  <c r="U46" i="19"/>
  <c r="U43" i="19"/>
  <c r="U29" i="19"/>
  <c r="T29" i="25"/>
  <c r="T27" i="27"/>
  <c r="T39" i="27"/>
  <c r="T33" i="28"/>
  <c r="T18" i="28"/>
  <c r="T43" i="28"/>
  <c r="U33" i="22"/>
  <c r="U52" i="9"/>
  <c r="T27" i="29"/>
  <c r="U46" i="21"/>
  <c r="U19" i="23"/>
  <c r="T51" i="25"/>
  <c r="U18" i="22"/>
  <c r="T34" i="26"/>
  <c r="U27" i="9"/>
  <c r="T47" i="24"/>
  <c r="U35" i="19"/>
  <c r="T35" i="29"/>
  <c r="T28" i="29"/>
  <c r="U17" i="21"/>
  <c r="U49" i="21"/>
  <c r="U38" i="23"/>
  <c r="T54" i="25"/>
  <c r="T49" i="29"/>
  <c r="T22" i="29"/>
  <c r="T40" i="29"/>
  <c r="U44" i="21"/>
  <c r="U45" i="21"/>
  <c r="U32" i="21"/>
  <c r="U50" i="21"/>
  <c r="U18" i="23"/>
  <c r="U51" i="23"/>
  <c r="U37" i="23"/>
  <c r="T17" i="25"/>
  <c r="T16" i="25"/>
  <c r="T43" i="25"/>
  <c r="T50" i="25"/>
  <c r="T25" i="27"/>
  <c r="T19" i="27"/>
  <c r="T18" i="27"/>
  <c r="T25" i="28"/>
  <c r="T41" i="28"/>
  <c r="T22" i="28"/>
  <c r="T50" i="28"/>
  <c r="U38" i="22"/>
  <c r="U39" i="22"/>
  <c r="T33" i="26"/>
  <c r="T19" i="26"/>
  <c r="T18" i="26"/>
  <c r="T31" i="26"/>
  <c r="U23" i="9"/>
  <c r="U22" i="9"/>
  <c r="U16" i="9"/>
  <c r="T27" i="24"/>
  <c r="T29" i="24"/>
  <c r="T46" i="24"/>
  <c r="T34" i="24"/>
  <c r="U54" i="20"/>
  <c r="U51" i="20"/>
  <c r="U42" i="20"/>
  <c r="U45" i="19"/>
  <c r="U51" i="19"/>
  <c r="U31" i="19"/>
  <c r="U32" i="19"/>
  <c r="V12" i="19"/>
  <c r="W11" i="19"/>
  <c r="U12" i="24"/>
  <c r="V11" i="24"/>
  <c r="V11" i="26"/>
  <c r="U12" i="26"/>
  <c r="V12" i="23"/>
  <c r="W11" i="23"/>
  <c r="W11" i="21"/>
  <c r="V12" i="21"/>
  <c r="W11" i="20"/>
  <c r="V12" i="20"/>
  <c r="V11" i="28"/>
  <c r="U12" i="28"/>
  <c r="V12" i="22"/>
  <c r="W11" i="22"/>
  <c r="U12" i="29"/>
  <c r="V11" i="29"/>
  <c r="U12" i="27"/>
  <c r="V11" i="27"/>
  <c r="V12" i="9"/>
  <c r="W11" i="9"/>
  <c r="V11" i="25"/>
  <c r="U12" i="25"/>
  <c r="V48" i="19" a="1"/>
  <c r="V42" i="23" a="1"/>
  <c r="V43" i="20" a="1"/>
  <c r="U29" i="29" a="1"/>
  <c r="U18" i="27" a="1"/>
  <c r="V49" i="9" a="1"/>
  <c r="V52" i="9" a="1"/>
  <c r="V22" i="9" a="1"/>
  <c r="U53" i="25" a="1"/>
  <c r="U47" i="28" a="1"/>
  <c r="V15" i="22" a="1"/>
  <c r="V38" i="9" a="1"/>
  <c r="V28" i="19" a="1"/>
  <c r="V29" i="19" a="1"/>
  <c r="V16" i="19" a="1"/>
  <c r="V47" i="19" a="1"/>
  <c r="U48" i="24" a="1"/>
  <c r="U48" i="26" a="1"/>
  <c r="U16" i="26" a="1"/>
  <c r="U26" i="26" a="1"/>
  <c r="V50" i="23" a="1"/>
  <c r="V27" i="21" a="1"/>
  <c r="V19" i="22" a="1"/>
  <c r="U54" i="29" a="1"/>
  <c r="U23" i="27" a="1"/>
  <c r="U36" i="25" a="1"/>
  <c r="V34" i="22" a="1"/>
  <c r="U28" i="27" a="1"/>
  <c r="V32" i="9" a="1"/>
  <c r="U46" i="25" a="1"/>
  <c r="V52" i="19" a="1"/>
  <c r="V44" i="19" a="1"/>
  <c r="V18" i="19" a="1"/>
  <c r="V23" i="19" a="1"/>
  <c r="U30" i="24" a="1"/>
  <c r="U41" i="24" a="1"/>
  <c r="U27" i="24" a="1"/>
  <c r="U45" i="26" a="1"/>
  <c r="U18" i="26" a="1"/>
  <c r="U15" i="26" a="1"/>
  <c r="U20" i="26" a="1"/>
  <c r="V21" i="23" a="1"/>
  <c r="V15" i="23" a="1"/>
  <c r="V48" i="23" a="1"/>
  <c r="V37" i="21" a="1"/>
  <c r="V24" i="21" a="1"/>
  <c r="V19" i="21" a="1"/>
  <c r="V28" i="21" a="1"/>
  <c r="V36" i="20" a="1"/>
  <c r="V35" i="20" a="1"/>
  <c r="V18" i="20" a="1"/>
  <c r="U22" i="28" a="1"/>
  <c r="U27" i="28" a="1"/>
  <c r="U46" i="28" a="1"/>
  <c r="U51" i="28" a="1"/>
  <c r="V47" i="22" a="1"/>
  <c r="V38" i="22" a="1"/>
  <c r="V26" i="22" a="1"/>
  <c r="U25" i="29" a="1"/>
  <c r="U21" i="29" a="1"/>
  <c r="U51" i="29" a="1"/>
  <c r="U34" i="29" a="1"/>
  <c r="U41" i="27" a="1"/>
  <c r="U19" i="27" a="1"/>
  <c r="U25" i="27" a="1"/>
  <c r="V40" i="9" a="1"/>
  <c r="V44" i="9" a="1"/>
  <c r="V24" i="9" a="1"/>
  <c r="V50" i="9" a="1"/>
  <c r="U33" i="25" a="1"/>
  <c r="U47" i="25" a="1"/>
  <c r="U42" i="25" a="1"/>
  <c r="V39" i="19" a="1"/>
  <c r="V46" i="19" a="1"/>
  <c r="U25" i="24" a="1"/>
  <c r="U39" i="24" a="1"/>
  <c r="U30" i="26" a="1"/>
  <c r="U43" i="26" a="1"/>
  <c r="U23" i="26" a="1"/>
  <c r="U36" i="26" a="1"/>
  <c r="V28" i="23" a="1"/>
  <c r="V32" i="23" a="1"/>
  <c r="V35" i="23" a="1"/>
  <c r="V18" i="21" a="1"/>
  <c r="V42" i="21" a="1"/>
  <c r="V52" i="20" a="1"/>
  <c r="V46" i="20" a="1"/>
  <c r="U53" i="28" a="1"/>
  <c r="U36" i="29" a="1"/>
  <c r="U15" i="29" a="1"/>
  <c r="V53" i="9" a="1"/>
  <c r="V20" i="9" a="1"/>
  <c r="U32" i="25" a="1"/>
  <c r="U15" i="25" a="1"/>
  <c r="V54" i="19" a="1"/>
  <c r="U31" i="24" a="1"/>
  <c r="U29" i="24" a="1"/>
  <c r="U44" i="26" a="1"/>
  <c r="V31" i="23" a="1"/>
  <c r="V24" i="20" a="1"/>
  <c r="U53" i="29" a="1"/>
  <c r="U50" i="27" a="1"/>
  <c r="V27" i="19" a="1"/>
  <c r="V35" i="19" a="1"/>
  <c r="U50" i="24" a="1"/>
  <c r="V25" i="21" a="1"/>
  <c r="V27" i="20" a="1"/>
  <c r="U26" i="28" a="1"/>
  <c r="U33" i="28" a="1"/>
  <c r="U29" i="28" a="1"/>
  <c r="V54" i="22" a="1"/>
  <c r="V41" i="22" a="1"/>
  <c r="V37" i="22" a="1"/>
  <c r="U48" i="29" a="1"/>
  <c r="U17" i="27" a="1"/>
  <c r="U36" i="27" a="1"/>
  <c r="V23" i="9" a="1"/>
  <c r="V51" i="9" a="1"/>
  <c r="U52" i="25" a="1"/>
  <c r="V33" i="19" a="1"/>
  <c r="U23" i="24" a="1"/>
  <c r="U21" i="24" a="1"/>
  <c r="U34" i="26" a="1"/>
  <c r="V29" i="23" a="1"/>
  <c r="V44" i="20" a="1"/>
  <c r="U36" i="28" a="1"/>
  <c r="V31" i="19" a="1"/>
  <c r="V37" i="19" a="1"/>
  <c r="V30" i="19" a="1"/>
  <c r="U36" i="24" a="1"/>
  <c r="U53" i="24" a="1"/>
  <c r="U19" i="24" a="1"/>
  <c r="U25" i="26" a="1"/>
  <c r="U19" i="26" a="1"/>
  <c r="U24" i="26" a="1"/>
  <c r="U31" i="26" a="1"/>
  <c r="V41" i="23" a="1"/>
  <c r="V51" i="23" a="1"/>
  <c r="V30" i="23" a="1"/>
  <c r="V43" i="21" a="1"/>
  <c r="V45" i="21" a="1"/>
  <c r="V35" i="21" a="1"/>
  <c r="V20" i="21" a="1"/>
  <c r="V51" i="20" a="1"/>
  <c r="V49" i="20" a="1"/>
  <c r="V34" i="20" a="1"/>
  <c r="U39" i="28" a="1"/>
  <c r="U15" i="28" a="1"/>
  <c r="U38" i="28" a="1"/>
  <c r="U31" i="28" a="1"/>
  <c r="V27" i="22" a="1"/>
  <c r="V22" i="22" a="1"/>
  <c r="U42" i="29" a="1"/>
  <c r="U18" i="29" a="1"/>
  <c r="U43" i="29" a="1"/>
  <c r="U52" i="29" a="1"/>
  <c r="U54" i="27" a="1"/>
  <c r="U49" i="27" a="1"/>
  <c r="V27" i="9" a="1"/>
  <c r="V47" i="9" a="1"/>
  <c r="V26" i="9" a="1"/>
  <c r="U22" i="25" a="1"/>
  <c r="U39" i="25" a="1"/>
  <c r="U25" i="25" a="1"/>
  <c r="V21" i="19" a="1"/>
  <c r="V17" i="23" a="1"/>
  <c r="V49" i="21" a="1"/>
  <c r="V38" i="20" a="1"/>
  <c r="V40" i="22" a="1"/>
  <c r="U38" i="29" a="1"/>
  <c r="U28" i="25" a="1"/>
  <c r="V25" i="19" a="1"/>
  <c r="V22" i="19" a="1"/>
  <c r="V32" i="19" a="1"/>
  <c r="V19" i="19" a="1"/>
  <c r="U40" i="24" a="1"/>
  <c r="U32" i="24" a="1"/>
  <c r="U21" i="26" a="1"/>
  <c r="U28" i="26" a="1"/>
  <c r="U29" i="26" a="1"/>
  <c r="U38" i="26" a="1"/>
  <c r="V52" i="23" a="1"/>
  <c r="V38" i="23" a="1"/>
  <c r="V26" i="23" a="1"/>
  <c r="V38" i="21" a="1"/>
  <c r="V23" i="21" a="1"/>
  <c r="V51" i="21" a="1"/>
  <c r="V40" i="20" a="1"/>
  <c r="V42" i="20" a="1"/>
  <c r="V23" i="20" a="1"/>
  <c r="U45" i="28" a="1"/>
  <c r="U17" i="28" a="1"/>
  <c r="U20" i="28" a="1"/>
  <c r="U32" i="28" a="1"/>
  <c r="V36" i="22" a="1"/>
  <c r="V20" i="22" a="1"/>
  <c r="U26" i="29" a="1"/>
  <c r="U30" i="29" a="1"/>
  <c r="U32" i="29" a="1"/>
  <c r="U31" i="29" a="1"/>
  <c r="U39" i="27" a="1"/>
  <c r="U44" i="27" a="1"/>
  <c r="U20" i="27" a="1"/>
  <c r="V42" i="9" a="1"/>
  <c r="V29" i="9" a="1"/>
  <c r="V28" i="9" a="1"/>
  <c r="V43" i="9" a="1"/>
  <c r="U40" i="25" a="1"/>
  <c r="U35" i="25" a="1"/>
  <c r="U29" i="25" a="1"/>
  <c r="V45" i="23" a="1"/>
  <c r="V20" i="23" a="1"/>
  <c r="V33" i="23" a="1"/>
  <c r="V17" i="21" a="1"/>
  <c r="V34" i="21" a="1"/>
  <c r="V48" i="21" a="1"/>
  <c r="V20" i="20" a="1"/>
  <c r="V48" i="20" a="1"/>
  <c r="V32" i="20" a="1"/>
  <c r="U41" i="28" a="1"/>
  <c r="U24" i="28" a="1"/>
  <c r="U25" i="28" a="1"/>
  <c r="V35" i="22" a="1"/>
  <c r="V16" i="22" a="1"/>
  <c r="V46" i="22" a="1"/>
  <c r="V32" i="22" a="1"/>
  <c r="U22" i="29" a="1"/>
  <c r="U17" i="29" a="1"/>
  <c r="U49" i="29" a="1"/>
  <c r="U45" i="27" a="1"/>
  <c r="U48" i="27" a="1"/>
  <c r="U29" i="27" a="1"/>
  <c r="U27" i="27" a="1"/>
  <c r="V30" i="9" a="1"/>
  <c r="V25" i="9" a="1"/>
  <c r="V17" i="9" a="1"/>
  <c r="U27" i="25" a="1"/>
  <c r="U19" i="25" a="1"/>
  <c r="U21" i="25" a="1"/>
  <c r="U52" i="26" a="1"/>
  <c r="V24" i="23" a="1"/>
  <c r="V31" i="21" a="1"/>
  <c r="U16" i="25" a="1"/>
  <c r="V15" i="19" a="1"/>
  <c r="V50" i="19" a="1"/>
  <c r="U43" i="24" a="1"/>
  <c r="U20" i="24" a="1"/>
  <c r="U46" i="24" a="1"/>
  <c r="U49" i="24" a="1"/>
  <c r="U53" i="26" a="1"/>
  <c r="U22" i="26" a="1"/>
  <c r="U46" i="26" a="1"/>
  <c r="V24" i="19" a="1"/>
  <c r="V45" i="19" a="1"/>
  <c r="V34" i="19" a="1"/>
  <c r="U38" i="24" a="1"/>
  <c r="U54" i="24" a="1"/>
  <c r="U47" i="24" a="1"/>
  <c r="U26" i="24" a="1"/>
  <c r="U40" i="26" a="1"/>
  <c r="U32" i="26" a="1"/>
  <c r="V54" i="23" a="1"/>
  <c r="V23" i="23" a="1"/>
  <c r="V53" i="23" a="1"/>
  <c r="V44" i="21" a="1"/>
  <c r="V50" i="21" a="1"/>
  <c r="V16" i="21" a="1"/>
  <c r="V22" i="20" a="1"/>
  <c r="V16" i="20" a="1"/>
  <c r="V50" i="20" a="1"/>
  <c r="V28" i="20" a="1"/>
  <c r="U44" i="28" a="1"/>
  <c r="U43" i="28" a="1"/>
  <c r="U48" i="28" a="1"/>
  <c r="V28" i="22" a="1"/>
  <c r="V49" i="22" a="1"/>
  <c r="V53" i="22" a="1"/>
  <c r="V39" i="22" a="1"/>
  <c r="U47" i="29" a="1"/>
  <c r="U45" i="29" a="1"/>
  <c r="U40" i="29" a="1"/>
  <c r="U16" i="27" a="1"/>
  <c r="U35" i="27" a="1"/>
  <c r="U40" i="27" a="1"/>
  <c r="U34" i="27" a="1"/>
  <c r="V18" i="9" a="1"/>
  <c r="V34" i="9" a="1"/>
  <c r="U18" i="25" a="1"/>
  <c r="U48" i="25" a="1"/>
  <c r="U37" i="25" a="1"/>
  <c r="V38" i="19" a="1"/>
  <c r="V53" i="19" a="1"/>
  <c r="V40" i="19" a="1"/>
  <c r="U33" i="24" a="1"/>
  <c r="U15" i="24" a="1"/>
  <c r="U16" i="24" a="1"/>
  <c r="U52" i="24" a="1"/>
  <c r="U39" i="26" a="1"/>
  <c r="U41" i="26" a="1"/>
  <c r="V36" i="23" a="1"/>
  <c r="V39" i="23" a="1"/>
  <c r="V34" i="23" a="1"/>
  <c r="V37" i="23" a="1"/>
  <c r="V54" i="21" a="1"/>
  <c r="V36" i="21" a="1"/>
  <c r="V32" i="21" a="1"/>
  <c r="V54" i="20" a="1"/>
  <c r="V29" i="20" a="1"/>
  <c r="V26" i="20" a="1"/>
  <c r="V15" i="20" a="1"/>
  <c r="U30" i="28" a="1"/>
  <c r="U21" i="28" a="1"/>
  <c r="U34" i="28" a="1"/>
  <c r="V30" i="22" a="1"/>
  <c r="V29" i="22" a="1"/>
  <c r="V31" i="22" a="1"/>
  <c r="V33" i="22" a="1"/>
  <c r="U39" i="29" a="1"/>
  <c r="U27" i="29" a="1"/>
  <c r="U19" i="29" a="1"/>
  <c r="U42" i="27" a="1"/>
  <c r="U33" i="27" a="1"/>
  <c r="U52" i="27" a="1"/>
  <c r="U22" i="27" a="1"/>
  <c r="V33" i="9" a="1"/>
  <c r="V41" i="9" a="1"/>
  <c r="V21" i="9" a="1"/>
  <c r="U24" i="25" a="1"/>
  <c r="U44" i="25" a="1"/>
  <c r="U51" i="25" a="1"/>
  <c r="U17" i="25" a="1"/>
  <c r="V36" i="9" a="1"/>
  <c r="V16" i="9" a="1"/>
  <c r="U23" i="25" a="1"/>
  <c r="U41" i="25" a="1"/>
  <c r="U24" i="24" a="1"/>
  <c r="U50" i="26" a="1"/>
  <c r="V44" i="23" a="1"/>
  <c r="V39" i="21" a="1"/>
  <c r="V47" i="21" a="1"/>
  <c r="V33" i="20" a="1"/>
  <c r="V30" i="20" a="1"/>
  <c r="V37" i="20" a="1"/>
  <c r="U18" i="28" a="1"/>
  <c r="U49" i="28" a="1"/>
  <c r="V21" i="22" a="1"/>
  <c r="U16" i="29" a="1"/>
  <c r="V33" i="21" a="1"/>
  <c r="V42" i="22" a="1"/>
  <c r="U46" i="27" a="1"/>
  <c r="U43" i="25" a="1"/>
  <c r="V51" i="19" a="1"/>
  <c r="V49" i="19" a="1"/>
  <c r="V42" i="19" a="1"/>
  <c r="U28" i="24" a="1"/>
  <c r="U51" i="24" a="1"/>
  <c r="U22" i="24" a="1"/>
  <c r="U37" i="24" a="1"/>
  <c r="U42" i="26" a="1"/>
  <c r="U27" i="26" a="1"/>
  <c r="U49" i="26" a="1"/>
  <c r="V27" i="23" a="1"/>
  <c r="V49" i="23" a="1"/>
  <c r="V40" i="23" a="1"/>
  <c r="V16" i="23" a="1"/>
  <c r="V26" i="21" a="1"/>
  <c r="V15" i="21" a="1"/>
  <c r="V40" i="21" a="1"/>
  <c r="V21" i="20" a="1"/>
  <c r="V19" i="20" a="1"/>
  <c r="V17" i="20" a="1"/>
  <c r="V39" i="20" a="1"/>
  <c r="U42" i="28" a="1"/>
  <c r="U40" i="28" a="1"/>
  <c r="U54" i="28" a="1"/>
  <c r="V52" i="22" a="1"/>
  <c r="V23" i="22" a="1"/>
  <c r="V17" i="22" a="1"/>
  <c r="V50" i="22" a="1"/>
  <c r="U24" i="29" a="1"/>
  <c r="U20" i="29" a="1"/>
  <c r="U37" i="27" a="1"/>
  <c r="U26" i="27" a="1"/>
  <c r="U32" i="27" a="1"/>
  <c r="U47" i="27" a="1"/>
  <c r="V31" i="9" a="1"/>
  <c r="V45" i="9" a="1"/>
  <c r="V19" i="9" a="1"/>
  <c r="U45" i="25" a="1"/>
  <c r="U54" i="25" a="1"/>
  <c r="U34" i="25" a="1"/>
  <c r="U30" i="25" a="1"/>
  <c r="U46" i="29" a="1"/>
  <c r="U33" i="29" a="1"/>
  <c r="U38" i="27" a="1"/>
  <c r="V35" i="9" a="1"/>
  <c r="U26" i="25" a="1"/>
  <c r="U50" i="25" a="1"/>
  <c r="U49" i="25" a="1"/>
  <c r="V41" i="19" a="1"/>
  <c r="V20" i="19" a="1"/>
  <c r="V17" i="19" a="1"/>
  <c r="U42" i="24" a="1"/>
  <c r="U47" i="26" a="1"/>
  <c r="U17" i="26" a="1"/>
  <c r="U54" i="26" a="1"/>
  <c r="V43" i="23" a="1"/>
  <c r="V53" i="21" a="1"/>
  <c r="V47" i="20" a="1"/>
  <c r="U50" i="28" a="1"/>
  <c r="U23" i="28" a="1"/>
  <c r="U16" i="28" a="1"/>
  <c r="V43" i="22" a="1"/>
  <c r="V48" i="22" a="1"/>
  <c r="U28" i="29" a="1"/>
  <c r="U35" i="29" a="1"/>
  <c r="U50" i="29" a="1"/>
  <c r="U23" i="29" a="1"/>
  <c r="U15" i="27" a="1"/>
  <c r="U24" i="27" a="1"/>
  <c r="U51" i="27" a="1"/>
  <c r="V15" i="9" a="1"/>
  <c r="V46" i="9" a="1"/>
  <c r="U20" i="25" a="1"/>
  <c r="U45" i="24" a="1"/>
  <c r="V25" i="23" a="1"/>
  <c r="V41" i="21" a="1"/>
  <c r="U35" i="28" a="1"/>
  <c r="V45" i="22" a="1"/>
  <c r="U41" i="29" a="1"/>
  <c r="U43" i="27" a="1"/>
  <c r="V39" i="9" a="1"/>
  <c r="U38" i="25" a="1"/>
  <c r="U52" i="28" a="1"/>
  <c r="U37" i="29" a="1"/>
  <c r="U21" i="27" a="1"/>
  <c r="V54" i="9" a="1"/>
  <c r="V36" i="19" a="1"/>
  <c r="V26" i="19" a="1"/>
  <c r="V43" i="19" a="1"/>
  <c r="U18" i="24" a="1"/>
  <c r="U35" i="24" a="1"/>
  <c r="U44" i="24" a="1"/>
  <c r="U17" i="24" a="1"/>
  <c r="U33" i="26" a="1"/>
  <c r="U51" i="26" a="1"/>
  <c r="U37" i="26" a="1"/>
  <c r="V19" i="23" a="1"/>
  <c r="V18" i="23" a="1"/>
  <c r="V47" i="23" a="1"/>
  <c r="V46" i="23" a="1"/>
  <c r="V22" i="21" a="1"/>
  <c r="V52" i="21" a="1"/>
  <c r="V21" i="21" a="1"/>
  <c r="V31" i="20" a="1"/>
  <c r="V53" i="20" a="1"/>
  <c r="V25" i="20" a="1"/>
  <c r="V45" i="20" a="1"/>
  <c r="U28" i="28" a="1"/>
  <c r="U19" i="28" a="1"/>
  <c r="U37" i="28" a="1"/>
  <c r="V18" i="22" a="1"/>
  <c r="V24" i="22" a="1"/>
  <c r="V44" i="22" a="1"/>
  <c r="V25" i="22" a="1"/>
  <c r="U44" i="29" a="1"/>
  <c r="U30" i="27" a="1"/>
  <c r="U53" i="27" a="1"/>
  <c r="U31" i="27" a="1"/>
  <c r="V37" i="9" a="1"/>
  <c r="V48" i="9" a="1"/>
  <c r="U31" i="25" a="1"/>
  <c r="U34" i="24" a="1"/>
  <c r="U35" i="26" a="1"/>
  <c r="V22" i="23" a="1"/>
  <c r="V30" i="21" a="1"/>
  <c r="V46" i="21" a="1"/>
  <c r="V29" i="21" a="1"/>
  <c r="V41" i="20" a="1"/>
  <c r="V51" i="22" a="1"/>
  <c r="V51" i="22" l="1"/>
  <c r="V41" i="20"/>
  <c r="V29" i="21"/>
  <c r="V46" i="21"/>
  <c r="V30" i="21"/>
  <c r="V22" i="23"/>
  <c r="U35" i="26"/>
  <c r="U34" i="24"/>
  <c r="U31" i="25"/>
  <c r="V48" i="9"/>
  <c r="V37" i="9"/>
  <c r="U31" i="27"/>
  <c r="U53" i="27"/>
  <c r="U30" i="27"/>
  <c r="U44" i="29"/>
  <c r="V25" i="22"/>
  <c r="V44" i="22"/>
  <c r="V24" i="22"/>
  <c r="V18" i="22"/>
  <c r="U37" i="28"/>
  <c r="U19" i="28"/>
  <c r="U28" i="28"/>
  <c r="V45" i="20"/>
  <c r="V25" i="20"/>
  <c r="V53" i="20"/>
  <c r="V31" i="20"/>
  <c r="V21" i="21"/>
  <c r="V52" i="21"/>
  <c r="V22" i="21"/>
  <c r="V46" i="23"/>
  <c r="V47" i="23"/>
  <c r="V18" i="23"/>
  <c r="V19" i="23"/>
  <c r="U37" i="26"/>
  <c r="U51" i="26"/>
  <c r="U33" i="26"/>
  <c r="U17" i="24"/>
  <c r="U44" i="24"/>
  <c r="U35" i="24"/>
  <c r="U18" i="24"/>
  <c r="V43" i="19"/>
  <c r="V26" i="19"/>
  <c r="V36" i="19"/>
  <c r="V54" i="9"/>
  <c r="U21" i="27"/>
  <c r="U37" i="29"/>
  <c r="U52" i="28"/>
  <c r="U38" i="25"/>
  <c r="V39" i="9"/>
  <c r="U43" i="27"/>
  <c r="U41" i="29"/>
  <c r="V45" i="22"/>
  <c r="U35" i="28"/>
  <c r="V41" i="21"/>
  <c r="V25" i="23"/>
  <c r="U45" i="24"/>
  <c r="U20" i="25"/>
  <c r="V46" i="9"/>
  <c r="V15" i="9"/>
  <c r="U51" i="27"/>
  <c r="U24" i="27"/>
  <c r="U15" i="27"/>
  <c r="U23" i="29"/>
  <c r="U50" i="29"/>
  <c r="U35" i="29"/>
  <c r="U28" i="29"/>
  <c r="V48" i="22"/>
  <c r="V43" i="22"/>
  <c r="U16" i="28"/>
  <c r="U23" i="28"/>
  <c r="U50" i="28"/>
  <c r="V47" i="20"/>
  <c r="V53" i="21"/>
  <c r="V43" i="23"/>
  <c r="U54" i="26"/>
  <c r="U17" i="26"/>
  <c r="U47" i="26"/>
  <c r="U42" i="24"/>
  <c r="V17" i="19"/>
  <c r="V20" i="19"/>
  <c r="V41" i="19"/>
  <c r="U49" i="25"/>
  <c r="U50" i="25"/>
  <c r="U26" i="25"/>
  <c r="V35" i="9"/>
  <c r="U38" i="27"/>
  <c r="U33" i="29"/>
  <c r="U46" i="29"/>
  <c r="U30" i="25"/>
  <c r="U34" i="25"/>
  <c r="U54" i="25"/>
  <c r="U45" i="25"/>
  <c r="V19" i="9"/>
  <c r="V45" i="9"/>
  <c r="V31" i="9"/>
  <c r="U47" i="27"/>
  <c r="U32" i="27"/>
  <c r="U26" i="27"/>
  <c r="U37" i="27"/>
  <c r="U20" i="29"/>
  <c r="U24" i="29"/>
  <c r="V50" i="22"/>
  <c r="V17" i="22"/>
  <c r="V23" i="22"/>
  <c r="V52" i="22"/>
  <c r="U54" i="28"/>
  <c r="U40" i="28"/>
  <c r="U42" i="28"/>
  <c r="V39" i="20"/>
  <c r="V17" i="20"/>
  <c r="V19" i="20"/>
  <c r="V21" i="20"/>
  <c r="V40" i="21"/>
  <c r="V15" i="21"/>
  <c r="V26" i="21"/>
  <c r="V16" i="23"/>
  <c r="V40" i="23"/>
  <c r="V49" i="23"/>
  <c r="V27" i="23"/>
  <c r="U49" i="26"/>
  <c r="U27" i="26"/>
  <c r="U42" i="26"/>
  <c r="U37" i="24"/>
  <c r="U22" i="24"/>
  <c r="U51" i="24"/>
  <c r="U28" i="24"/>
  <c r="V42" i="19"/>
  <c r="V49" i="19"/>
  <c r="V51" i="19"/>
  <c r="U43" i="25"/>
  <c r="U46" i="27"/>
  <c r="V42" i="22"/>
  <c r="V33" i="21"/>
  <c r="U16" i="29"/>
  <c r="V21" i="22"/>
  <c r="U49" i="28"/>
  <c r="U18" i="28"/>
  <c r="V37" i="20"/>
  <c r="V30" i="20"/>
  <c r="V33" i="20"/>
  <c r="V47" i="21"/>
  <c r="V39" i="21"/>
  <c r="V44" i="23"/>
  <c r="U50" i="26"/>
  <c r="U24" i="24"/>
  <c r="U41" i="25"/>
  <c r="U23" i="25"/>
  <c r="V16" i="9"/>
  <c r="V36" i="9"/>
  <c r="U17" i="25"/>
  <c r="U51" i="25"/>
  <c r="U44" i="25"/>
  <c r="U24" i="25"/>
  <c r="V21" i="9"/>
  <c r="V41" i="9"/>
  <c r="V33" i="9"/>
  <c r="U22" i="27"/>
  <c r="U52" i="27"/>
  <c r="U33" i="27"/>
  <c r="U42" i="27"/>
  <c r="U19" i="29"/>
  <c r="U27" i="29"/>
  <c r="U39" i="29"/>
  <c r="V33" i="22"/>
  <c r="V31" i="22"/>
  <c r="V29" i="22"/>
  <c r="V30" i="22"/>
  <c r="U34" i="28"/>
  <c r="U21" i="28"/>
  <c r="U30" i="28"/>
  <c r="V15" i="20"/>
  <c r="V26" i="20"/>
  <c r="V29" i="20"/>
  <c r="V54" i="20"/>
  <c r="V32" i="21"/>
  <c r="V36" i="21"/>
  <c r="V54" i="21"/>
  <c r="V37" i="23"/>
  <c r="V34" i="23"/>
  <c r="V39" i="23"/>
  <c r="V36" i="23"/>
  <c r="U41" i="26"/>
  <c r="U39" i="26"/>
  <c r="U52" i="24"/>
  <c r="U16" i="24"/>
  <c r="U15" i="24"/>
  <c r="U33" i="24"/>
  <c r="V40" i="19"/>
  <c r="V53" i="19"/>
  <c r="V38" i="19"/>
  <c r="U37" i="25"/>
  <c r="U48" i="25"/>
  <c r="U18" i="25"/>
  <c r="V34" i="9"/>
  <c r="V18" i="9"/>
  <c r="U34" i="27"/>
  <c r="U40" i="27"/>
  <c r="U35" i="27"/>
  <c r="U16" i="27"/>
  <c r="U40" i="29"/>
  <c r="U45" i="29"/>
  <c r="U47" i="29"/>
  <c r="V39" i="22"/>
  <c r="V53" i="22"/>
  <c r="V49" i="22"/>
  <c r="V28" i="22"/>
  <c r="U48" i="28"/>
  <c r="U43" i="28"/>
  <c r="U44" i="28"/>
  <c r="V28" i="20"/>
  <c r="V50" i="20"/>
  <c r="V16" i="20"/>
  <c r="V22" i="20"/>
  <c r="V16" i="21"/>
  <c r="V50" i="21"/>
  <c r="V44" i="21"/>
  <c r="V53" i="23"/>
  <c r="V23" i="23"/>
  <c r="V54" i="23"/>
  <c r="U32" i="26"/>
  <c r="U40" i="26"/>
  <c r="U26" i="24"/>
  <c r="U47" i="24"/>
  <c r="U54" i="24"/>
  <c r="U38" i="24"/>
  <c r="V34" i="19"/>
  <c r="V45" i="19"/>
  <c r="V24" i="19"/>
  <c r="U46" i="26"/>
  <c r="U22" i="26"/>
  <c r="U53" i="26"/>
  <c r="U49" i="24"/>
  <c r="U46" i="24"/>
  <c r="U20" i="24"/>
  <c r="U43" i="24"/>
  <c r="V50" i="19"/>
  <c r="V15" i="19"/>
  <c r="U16" i="25"/>
  <c r="V31" i="21"/>
  <c r="V24" i="23"/>
  <c r="U52" i="26"/>
  <c r="U21" i="25"/>
  <c r="U19" i="25"/>
  <c r="U27" i="25"/>
  <c r="V17" i="9"/>
  <c r="V25" i="9"/>
  <c r="V30" i="9"/>
  <c r="U27" i="27"/>
  <c r="U29" i="27"/>
  <c r="U48" i="27"/>
  <c r="U45" i="27"/>
  <c r="U49" i="29"/>
  <c r="U17" i="29"/>
  <c r="U22" i="29"/>
  <c r="V32" i="22"/>
  <c r="V46" i="22"/>
  <c r="V16" i="22"/>
  <c r="V35" i="22"/>
  <c r="U25" i="28"/>
  <c r="U24" i="28"/>
  <c r="U41" i="28"/>
  <c r="V32" i="20"/>
  <c r="V48" i="20"/>
  <c r="V20" i="20"/>
  <c r="V48" i="21"/>
  <c r="V34" i="21"/>
  <c r="V17" i="21"/>
  <c r="V33" i="23"/>
  <c r="V20" i="23"/>
  <c r="V45" i="23"/>
  <c r="U29" i="25"/>
  <c r="U35" i="25"/>
  <c r="U40" i="25"/>
  <c r="V43" i="9"/>
  <c r="V28" i="9"/>
  <c r="V29" i="9"/>
  <c r="V42" i="9"/>
  <c r="U20" i="27"/>
  <c r="U44" i="27"/>
  <c r="U39" i="27"/>
  <c r="U31" i="29"/>
  <c r="U32" i="29"/>
  <c r="U30" i="29"/>
  <c r="U26" i="29"/>
  <c r="V20" i="22"/>
  <c r="V36" i="22"/>
  <c r="U32" i="28"/>
  <c r="U20" i="28"/>
  <c r="U17" i="28"/>
  <c r="U45" i="28"/>
  <c r="V23" i="20"/>
  <c r="V42" i="20"/>
  <c r="V40" i="20"/>
  <c r="V51" i="21"/>
  <c r="V23" i="21"/>
  <c r="V38" i="21"/>
  <c r="V26" i="23"/>
  <c r="V38" i="23"/>
  <c r="V52" i="23"/>
  <c r="U38" i="26"/>
  <c r="U29" i="26"/>
  <c r="U28" i="26"/>
  <c r="U21" i="26"/>
  <c r="U32" i="24"/>
  <c r="U40" i="24"/>
  <c r="V19" i="19"/>
  <c r="V32" i="19"/>
  <c r="V22" i="19"/>
  <c r="V25" i="19"/>
  <c r="U28" i="25"/>
  <c r="U38" i="29"/>
  <c r="V40" i="22"/>
  <c r="V38" i="20"/>
  <c r="V49" i="21"/>
  <c r="V17" i="23"/>
  <c r="V21" i="19"/>
  <c r="U25" i="25"/>
  <c r="U39" i="25"/>
  <c r="U22" i="25"/>
  <c r="V26" i="9"/>
  <c r="V47" i="9"/>
  <c r="V27" i="9"/>
  <c r="U49" i="27"/>
  <c r="U54" i="27"/>
  <c r="U52" i="29"/>
  <c r="U43" i="29"/>
  <c r="U18" i="29"/>
  <c r="U42" i="29"/>
  <c r="V22" i="22"/>
  <c r="V27" i="22"/>
  <c r="U31" i="28"/>
  <c r="U38" i="28"/>
  <c r="U15" i="28"/>
  <c r="U39" i="28"/>
  <c r="V34" i="20"/>
  <c r="V49" i="20"/>
  <c r="V51" i="20"/>
  <c r="V20" i="21"/>
  <c r="V35" i="21"/>
  <c r="V45" i="21"/>
  <c r="V43" i="21"/>
  <c r="V30" i="23"/>
  <c r="V51" i="23"/>
  <c r="V41" i="23"/>
  <c r="U31" i="26"/>
  <c r="U24" i="26"/>
  <c r="U19" i="26"/>
  <c r="U25" i="26"/>
  <c r="U19" i="24"/>
  <c r="U53" i="24"/>
  <c r="U36" i="24"/>
  <c r="V30" i="19"/>
  <c r="V37" i="19"/>
  <c r="V31" i="19"/>
  <c r="U36" i="28"/>
  <c r="V44" i="20"/>
  <c r="V29" i="23"/>
  <c r="U34" i="26"/>
  <c r="U21" i="24"/>
  <c r="U23" i="24"/>
  <c r="V33" i="19"/>
  <c r="U52" i="25"/>
  <c r="V51" i="9"/>
  <c r="V23" i="9"/>
  <c r="U36" i="27"/>
  <c r="U17" i="27"/>
  <c r="U48" i="29"/>
  <c r="V37" i="22"/>
  <c r="V41" i="22"/>
  <c r="V54" i="22"/>
  <c r="U29" i="28"/>
  <c r="U33" i="28"/>
  <c r="U26" i="28"/>
  <c r="V27" i="20"/>
  <c r="V25" i="21"/>
  <c r="U50" i="24"/>
  <c r="V35" i="19"/>
  <c r="V27" i="19"/>
  <c r="U50" i="27"/>
  <c r="U53" i="29"/>
  <c r="V24" i="20"/>
  <c r="V31" i="23"/>
  <c r="U44" i="26"/>
  <c r="U29" i="24"/>
  <c r="U31" i="24"/>
  <c r="V54" i="19"/>
  <c r="U15" i="25"/>
  <c r="U32" i="25"/>
  <c r="V20" i="9"/>
  <c r="V53" i="9"/>
  <c r="U15" i="29"/>
  <c r="U36" i="29"/>
  <c r="U53" i="28"/>
  <c r="V46" i="20"/>
  <c r="V52" i="20"/>
  <c r="V42" i="21"/>
  <c r="V18" i="21"/>
  <c r="V35" i="23"/>
  <c r="V32" i="23"/>
  <c r="V28" i="23"/>
  <c r="U36" i="26"/>
  <c r="U23" i="26"/>
  <c r="U43" i="26"/>
  <c r="U30" i="26"/>
  <c r="U39" i="24"/>
  <c r="U25" i="24"/>
  <c r="V46" i="19"/>
  <c r="V39" i="19"/>
  <c r="U42" i="25"/>
  <c r="U47" i="25"/>
  <c r="U33" i="25"/>
  <c r="V50" i="9"/>
  <c r="V24" i="9"/>
  <c r="V44" i="9"/>
  <c r="V40" i="9"/>
  <c r="U25" i="27"/>
  <c r="U19" i="27"/>
  <c r="U41" i="27"/>
  <c r="U34" i="29"/>
  <c r="U51" i="29"/>
  <c r="U21" i="29"/>
  <c r="U25" i="29"/>
  <c r="V26" i="22"/>
  <c r="V38" i="22"/>
  <c r="V47" i="22"/>
  <c r="U51" i="28"/>
  <c r="U46" i="28"/>
  <c r="U27" i="28"/>
  <c r="U22" i="28"/>
  <c r="V18" i="20"/>
  <c r="V35" i="20"/>
  <c r="V36" i="20"/>
  <c r="V28" i="21"/>
  <c r="V19" i="21"/>
  <c r="V24" i="21"/>
  <c r="V37" i="21"/>
  <c r="V48" i="23"/>
  <c r="V15" i="23"/>
  <c r="V21" i="23"/>
  <c r="U20" i="26"/>
  <c r="U15" i="26"/>
  <c r="U18" i="26"/>
  <c r="U45" i="26"/>
  <c r="U27" i="24"/>
  <c r="U41" i="24"/>
  <c r="U30" i="24"/>
  <c r="V23" i="19"/>
  <c r="V18" i="19"/>
  <c r="V44" i="19"/>
  <c r="V52" i="19"/>
  <c r="U46" i="25"/>
  <c r="V32" i="9"/>
  <c r="U28" i="27"/>
  <c r="V34" i="22"/>
  <c r="U36" i="25"/>
  <c r="U23" i="27"/>
  <c r="U54" i="29"/>
  <c r="V19" i="22"/>
  <c r="V27" i="21"/>
  <c r="V50" i="23"/>
  <c r="U26" i="26"/>
  <c r="U16" i="26"/>
  <c r="U48" i="26"/>
  <c r="U48" i="24"/>
  <c r="V47" i="19"/>
  <c r="V16" i="19"/>
  <c r="V29" i="19"/>
  <c r="V28" i="19"/>
  <c r="V38" i="9"/>
  <c r="V15" i="22"/>
  <c r="U47" i="28"/>
  <c r="U53" i="25"/>
  <c r="V22" i="9"/>
  <c r="V52" i="9"/>
  <c r="V49" i="9"/>
  <c r="U18" i="27"/>
  <c r="U29" i="29"/>
  <c r="V43" i="20"/>
  <c r="V42" i="23"/>
  <c r="V48" i="19"/>
  <c r="W11" i="28"/>
  <c r="V12" i="28"/>
  <c r="V12" i="29"/>
  <c r="W11" i="29"/>
  <c r="W12" i="9"/>
  <c r="X11" i="9"/>
  <c r="X11" i="23"/>
  <c r="W12" i="23"/>
  <c r="V12" i="26"/>
  <c r="W11" i="26"/>
  <c r="W12" i="19"/>
  <c r="X11" i="19"/>
  <c r="V12" i="25"/>
  <c r="W11" i="25"/>
  <c r="X11" i="20"/>
  <c r="W12" i="20"/>
  <c r="W12" i="22"/>
  <c r="X11" i="22"/>
  <c r="W12" i="21"/>
  <c r="X11" i="21"/>
  <c r="V12" i="24"/>
  <c r="W11" i="24"/>
  <c r="V12" i="27"/>
  <c r="W11" i="27"/>
  <c r="V30" i="28" a="1"/>
  <c r="V28" i="28" a="1"/>
  <c r="V23" i="28" a="1"/>
  <c r="V24" i="28" a="1"/>
  <c r="V34" i="29" a="1"/>
  <c r="V40" i="29" a="1"/>
  <c r="W43" i="9" a="1"/>
  <c r="W20" i="9" a="1"/>
  <c r="W21" i="9" a="1"/>
  <c r="W32" i="9" a="1"/>
  <c r="W16" i="23" a="1"/>
  <c r="W53" i="23" a="1"/>
  <c r="W31" i="23" a="1"/>
  <c r="V27" i="26" a="1"/>
  <c r="V37" i="26" a="1"/>
  <c r="V36" i="26" a="1"/>
  <c r="W50" i="19" a="1"/>
  <c r="W40" i="19" a="1"/>
  <c r="W23" i="19" a="1"/>
  <c r="V19" i="25" a="1"/>
  <c r="V43" i="25" a="1"/>
  <c r="V28" i="25" a="1"/>
  <c r="V36" i="25" a="1"/>
  <c r="W41" i="20" a="1"/>
  <c r="W38" i="20" a="1"/>
  <c r="W17" i="20" a="1"/>
  <c r="W39" i="22" a="1"/>
  <c r="W15" i="22" a="1"/>
  <c r="W20" i="22" a="1"/>
  <c r="W50" i="21" a="1"/>
  <c r="V24" i="24" a="1"/>
  <c r="W30" i="19" a="1"/>
  <c r="V52" i="25" a="1"/>
  <c r="V18" i="25" a="1"/>
  <c r="W45" i="22" a="1"/>
  <c r="W26" i="22" a="1"/>
  <c r="W21" i="22" a="1"/>
  <c r="W40" i="21" a="1"/>
  <c r="W32" i="21" a="1"/>
  <c r="W34" i="21" a="1"/>
  <c r="V42" i="24" a="1"/>
  <c r="V37" i="24" a="1"/>
  <c r="V21" i="27" a="1"/>
  <c r="V37" i="29" a="1"/>
  <c r="V38" i="26" a="1"/>
  <c r="W37" i="19" a="1"/>
  <c r="W47" i="20" a="1"/>
  <c r="V48" i="28" a="1"/>
  <c r="V15" i="28" a="1"/>
  <c r="V40" i="28" a="1"/>
  <c r="V46" i="28" a="1"/>
  <c r="V39" i="29" a="1"/>
  <c r="V29" i="29" a="1"/>
  <c r="V18" i="29" a="1"/>
  <c r="W49" i="9" a="1"/>
  <c r="W50" i="9" a="1"/>
  <c r="W46" i="9" a="1"/>
  <c r="W51" i="9" a="1"/>
  <c r="W27" i="23" a="1"/>
  <c r="W35" i="23" a="1"/>
  <c r="W18" i="23" a="1"/>
  <c r="V16" i="26" a="1"/>
  <c r="V25" i="26" a="1"/>
  <c r="V54" i="26" a="1"/>
  <c r="W51" i="19" a="1"/>
  <c r="W35" i="20" a="1"/>
  <c r="V40" i="24" a="1"/>
  <c r="V25" i="27" a="1"/>
  <c r="V39" i="28" a="1"/>
  <c r="W34" i="9" a="1"/>
  <c r="W48" i="23" a="1"/>
  <c r="V50" i="26" a="1"/>
  <c r="V31" i="25" a="1"/>
  <c r="W15" i="20" a="1"/>
  <c r="W31" i="21" a="1"/>
  <c r="W42" i="9" a="1"/>
  <c r="V41" i="28" a="1"/>
  <c r="V26" i="28" a="1"/>
  <c r="V27" i="28" a="1"/>
  <c r="V34" i="28" a="1"/>
  <c r="V30" i="29" a="1"/>
  <c r="V23" i="29" a="1"/>
  <c r="V47" i="29" a="1"/>
  <c r="W15" i="9" a="1"/>
  <c r="W24" i="9" a="1"/>
  <c r="W16" i="9" a="1"/>
  <c r="W35" i="9" a="1"/>
  <c r="W25" i="23" a="1"/>
  <c r="W39" i="23" a="1"/>
  <c r="W32" i="23" a="1"/>
  <c r="V23" i="26" a="1"/>
  <c r="V51" i="26" a="1"/>
  <c r="V47" i="26" a="1"/>
  <c r="V30" i="26" a="1"/>
  <c r="W43" i="19" a="1"/>
  <c r="W46" i="19" a="1"/>
  <c r="W48" i="19" a="1"/>
  <c r="V54" i="25" a="1"/>
  <c r="V30" i="25" a="1"/>
  <c r="V50" i="25" a="1"/>
  <c r="V48" i="25" a="1"/>
  <c r="W23" i="20" a="1"/>
  <c r="W52" i="20" a="1"/>
  <c r="W22" i="20" a="1"/>
  <c r="W19" i="22" a="1"/>
  <c r="W52" i="22" a="1"/>
  <c r="W49" i="22" a="1"/>
  <c r="W46" i="22" a="1"/>
  <c r="W23" i="21" a="1"/>
  <c r="W25" i="21" a="1"/>
  <c r="W53" i="21" a="1"/>
  <c r="V53" i="24" a="1"/>
  <c r="V17" i="24" a="1"/>
  <c r="V27" i="24" a="1"/>
  <c r="V16" i="24" a="1"/>
  <c r="V42" i="27" a="1"/>
  <c r="V40" i="27" a="1"/>
  <c r="V45" i="27" a="1"/>
  <c r="W33" i="20" a="1"/>
  <c r="W31" i="22" a="1"/>
  <c r="W48" i="22" a="1"/>
  <c r="W30" i="21" a="1"/>
  <c r="W36" i="21" a="1"/>
  <c r="V46" i="24" a="1"/>
  <c r="V25" i="24" a="1"/>
  <c r="V31" i="24" a="1"/>
  <c r="V49" i="27" a="1"/>
  <c r="V35" i="27" a="1"/>
  <c r="V44" i="27" a="1"/>
  <c r="V32" i="27" a="1"/>
  <c r="V51" i="25" a="1"/>
  <c r="W51" i="22" a="1"/>
  <c r="W47" i="22" a="1"/>
  <c r="W43" i="22" a="1"/>
  <c r="W34" i="22" a="1"/>
  <c r="W42" i="21" a="1"/>
  <c r="V34" i="24" a="1"/>
  <c r="V41" i="24" a="1"/>
  <c r="V16" i="27" a="1"/>
  <c r="V22" i="27" a="1"/>
  <c r="V27" i="27" a="1"/>
  <c r="V15" i="26" a="1"/>
  <c r="V45" i="25" a="1"/>
  <c r="W40" i="22" a="1"/>
  <c r="V51" i="24" a="1"/>
  <c r="V22" i="28" a="1"/>
  <c r="V44" i="28" a="1"/>
  <c r="V29" i="28" a="1"/>
  <c r="V54" i="28" a="1"/>
  <c r="V32" i="29" a="1"/>
  <c r="V49" i="29" a="1"/>
  <c r="V27" i="29" a="1"/>
  <c r="W45" i="9" a="1"/>
  <c r="W53" i="9" a="1"/>
  <c r="W28" i="9" a="1"/>
  <c r="W30" i="9" a="1"/>
  <c r="W37" i="23" a="1"/>
  <c r="W36" i="23" a="1"/>
  <c r="V31" i="26" a="1"/>
  <c r="V48" i="26" a="1"/>
  <c r="V33" i="26" a="1"/>
  <c r="V20" i="26" a="1"/>
  <c r="W42" i="19" a="1"/>
  <c r="W47" i="19" a="1"/>
  <c r="W26" i="19" a="1"/>
  <c r="V49" i="25" a="1"/>
  <c r="V33" i="25" a="1"/>
  <c r="V17" i="25" a="1"/>
  <c r="V32" i="25" a="1"/>
  <c r="W28" i="20" a="1"/>
  <c r="W46" i="20" a="1"/>
  <c r="W35" i="22" a="1"/>
  <c r="W23" i="22" a="1"/>
  <c r="W15" i="21" a="1"/>
  <c r="V26" i="24" a="1"/>
  <c r="V23" i="27" a="1"/>
  <c r="V21" i="25" a="1"/>
  <c r="W31" i="20" a="1"/>
  <c r="W40" i="23" a="1"/>
  <c r="W24" i="19" a="1"/>
  <c r="V36" i="29" a="1"/>
  <c r="V32" i="26" a="1"/>
  <c r="W48" i="20" a="1"/>
  <c r="W37" i="22" a="1"/>
  <c r="W33" i="21" a="1"/>
  <c r="V53" i="27" a="1"/>
  <c r="V50" i="28" a="1"/>
  <c r="V33" i="28" a="1"/>
  <c r="V52" i="28" a="1"/>
  <c r="V36" i="28" a="1"/>
  <c r="V50" i="29" a="1"/>
  <c r="V31" i="29" a="1"/>
  <c r="V21" i="29" a="1"/>
  <c r="W22" i="9" a="1"/>
  <c r="W27" i="9" a="1"/>
  <c r="W25" i="9" a="1"/>
  <c r="W31" i="9" a="1"/>
  <c r="W28" i="23" a="1"/>
  <c r="W49" i="23" a="1"/>
  <c r="W43" i="23" a="1"/>
  <c r="V26" i="26" a="1"/>
  <c r="V35" i="26" a="1"/>
  <c r="V40" i="26" a="1"/>
  <c r="V34" i="26" a="1"/>
  <c r="W41" i="19" a="1"/>
  <c r="W16" i="19" a="1"/>
  <c r="W29" i="19" a="1"/>
  <c r="V16" i="25" a="1"/>
  <c r="V37" i="25" a="1"/>
  <c r="V25" i="25" a="1"/>
  <c r="V27" i="25" a="1"/>
  <c r="W42" i="20" a="1"/>
  <c r="W39" i="20" a="1"/>
  <c r="W25" i="20" a="1"/>
  <c r="W16" i="22" a="1"/>
  <c r="W24" i="22" a="1"/>
  <c r="W27" i="22" a="1"/>
  <c r="W18" i="22" a="1"/>
  <c r="W22" i="21" a="1"/>
  <c r="W39" i="21" a="1"/>
  <c r="W28" i="21" a="1"/>
  <c r="V21" i="24" a="1"/>
  <c r="V54" i="24" a="1"/>
  <c r="V35" i="24" a="1"/>
  <c r="V19" i="24" a="1"/>
  <c r="V34" i="27" a="1"/>
  <c r="W54" i="20" a="1"/>
  <c r="W29" i="21" a="1"/>
  <c r="V16" i="28" a="1"/>
  <c r="V33" i="29" a="1"/>
  <c r="V45" i="29" a="1"/>
  <c r="W17" i="9" a="1"/>
  <c r="W23" i="23" a="1"/>
  <c r="V44" i="24" a="1"/>
  <c r="V53" i="28" a="1"/>
  <c r="V44" i="29" a="1"/>
  <c r="V24" i="26" a="1"/>
  <c r="W20" i="19" a="1"/>
  <c r="W40" i="20" a="1"/>
  <c r="W19" i="20" a="1"/>
  <c r="W43" i="20" a="1"/>
  <c r="W42" i="22" a="1"/>
  <c r="W44" i="21" a="1"/>
  <c r="V23" i="24" a="1"/>
  <c r="V17" i="27" a="1"/>
  <c r="V21" i="28" a="1"/>
  <c r="V19" i="28" a="1"/>
  <c r="V31" i="28" a="1"/>
  <c r="V15" i="29" a="1"/>
  <c r="V48" i="29" a="1"/>
  <c r="V46" i="29" a="1"/>
  <c r="W39" i="9" a="1"/>
  <c r="W48" i="9" a="1"/>
  <c r="W29" i="9" a="1"/>
  <c r="W24" i="23" a="1"/>
  <c r="W42" i="23" a="1"/>
  <c r="W15" i="23" a="1"/>
  <c r="V22" i="26" a="1"/>
  <c r="V18" i="26" a="1"/>
  <c r="V46" i="26" a="1"/>
  <c r="W49" i="19" a="1"/>
  <c r="W38" i="19" a="1"/>
  <c r="V40" i="25" a="1"/>
  <c r="W24" i="20" a="1"/>
  <c r="W21" i="21" a="1"/>
  <c r="V20" i="24" a="1"/>
  <c r="W52" i="9" a="1"/>
  <c r="W21" i="23" a="1"/>
  <c r="V17" i="26" a="1"/>
  <c r="W32" i="19" a="1"/>
  <c r="V46" i="25" a="1"/>
  <c r="W35" i="21" a="1"/>
  <c r="V28" i="27" a="1"/>
  <c r="V20" i="28" a="1"/>
  <c r="V22" i="29" a="1"/>
  <c r="W19" i="23" a="1"/>
  <c r="W33" i="19" a="1"/>
  <c r="V18" i="28" a="1"/>
  <c r="V17" i="28" a="1"/>
  <c r="V49" i="28" a="1"/>
  <c r="V17" i="29" a="1"/>
  <c r="V35" i="29" a="1"/>
  <c r="V51" i="29" a="1"/>
  <c r="V25" i="29" a="1"/>
  <c r="W44" i="9" a="1"/>
  <c r="W54" i="9" a="1"/>
  <c r="W36" i="9" a="1"/>
  <c r="W54" i="23" a="1"/>
  <c r="W44" i="23" a="1"/>
  <c r="W52" i="23" a="1"/>
  <c r="W51" i="23" a="1"/>
  <c r="V53" i="26" a="1"/>
  <c r="V21" i="26" a="1"/>
  <c r="V52" i="26" a="1"/>
  <c r="W17" i="19" a="1"/>
  <c r="W53" i="19" a="1"/>
  <c r="W34" i="19" a="1"/>
  <c r="W31" i="19" a="1"/>
  <c r="V39" i="25" a="1"/>
  <c r="V23" i="25" a="1"/>
  <c r="V29" i="25" a="1"/>
  <c r="W21" i="20" a="1"/>
  <c r="W29" i="20" a="1"/>
  <c r="W44" i="20" a="1"/>
  <c r="W34" i="20" a="1"/>
  <c r="W22" i="22" a="1"/>
  <c r="W38" i="22" a="1"/>
  <c r="W53" i="22" a="1"/>
  <c r="W16" i="21" a="1"/>
  <c r="W46" i="21" a="1"/>
  <c r="W24" i="21" a="1"/>
  <c r="W41" i="21" a="1"/>
  <c r="V29" i="24" a="1"/>
  <c r="V28" i="24" a="1"/>
  <c r="V52" i="24" a="1"/>
  <c r="V54" i="27" a="1"/>
  <c r="V29" i="27" a="1"/>
  <c r="V51" i="27" a="1"/>
  <c r="V42" i="28" a="1"/>
  <c r="V45" i="28" a="1"/>
  <c r="V19" i="29" a="1"/>
  <c r="V42" i="29" a="1"/>
  <c r="V43" i="29" a="1"/>
  <c r="W18" i="9" a="1"/>
  <c r="W19" i="9" a="1"/>
  <c r="W46" i="23" a="1"/>
  <c r="W38" i="23" a="1"/>
  <c r="W30" i="23" a="1"/>
  <c r="V19" i="26" a="1"/>
  <c r="V44" i="26" a="1"/>
  <c r="V39" i="26" a="1"/>
  <c r="W27" i="19" a="1"/>
  <c r="W36" i="19" a="1"/>
  <c r="W39" i="19" a="1"/>
  <c r="V22" i="25" a="1"/>
  <c r="W45" i="21" a="1"/>
  <c r="W27" i="21" a="1"/>
  <c r="W17" i="21" a="1"/>
  <c r="V38" i="24" a="1"/>
  <c r="V49" i="24" a="1"/>
  <c r="V47" i="27" a="1"/>
  <c r="V24" i="27" a="1"/>
  <c r="V26" i="27" a="1"/>
  <c r="V52" i="27" a="1"/>
  <c r="W37" i="21" a="1"/>
  <c r="V45" i="24" a="1"/>
  <c r="V36" i="27" a="1"/>
  <c r="W54" i="22" a="1"/>
  <c r="W18" i="21" a="1"/>
  <c r="V39" i="24" a="1"/>
  <c r="V32" i="28" a="1"/>
  <c r="W26" i="9" a="1"/>
  <c r="W34" i="23" a="1"/>
  <c r="V38" i="28" a="1"/>
  <c r="V28" i="29" a="1"/>
  <c r="W40" i="9" a="1"/>
  <c r="W29" i="23" a="1"/>
  <c r="W44" i="19" a="1"/>
  <c r="V20" i="25" a="1"/>
  <c r="W51" i="20" a="1"/>
  <c r="W27" i="20" a="1"/>
  <c r="W26" i="20" a="1"/>
  <c r="W30" i="20" a="1"/>
  <c r="W25" i="22" a="1"/>
  <c r="W36" i="22" a="1"/>
  <c r="W30" i="22" a="1"/>
  <c r="V22" i="24" a="1"/>
  <c r="W43" i="21" a="1"/>
  <c r="V39" i="27" a="1"/>
  <c r="V15" i="27" a="1"/>
  <c r="W19" i="19" a="1"/>
  <c r="W41" i="22" a="1"/>
  <c r="W54" i="21" a="1"/>
  <c r="W41" i="23" a="1"/>
  <c r="W21" i="19" a="1"/>
  <c r="V44" i="25" a="1"/>
  <c r="W52" i="21" a="1"/>
  <c r="V33" i="24" a="1"/>
  <c r="V41" i="27" a="1"/>
  <c r="V25" i="28" a="1"/>
  <c r="V47" i="28" a="1"/>
  <c r="V37" i="28" a="1"/>
  <c r="V26" i="29" a="1"/>
  <c r="V53" i="29" a="1"/>
  <c r="V54" i="29" a="1"/>
  <c r="V38" i="29" a="1"/>
  <c r="W38" i="9" a="1"/>
  <c r="W41" i="9" a="1"/>
  <c r="W47" i="23" a="1"/>
  <c r="W45" i="23" a="1"/>
  <c r="W26" i="23" a="1"/>
  <c r="W33" i="23" a="1"/>
  <c r="V45" i="26" a="1"/>
  <c r="V28" i="26" a="1"/>
  <c r="V29" i="26" a="1"/>
  <c r="W52" i="19" a="1"/>
  <c r="W25" i="19" a="1"/>
  <c r="W18" i="19" a="1"/>
  <c r="W35" i="19" a="1"/>
  <c r="V26" i="25" a="1"/>
  <c r="V35" i="25" a="1"/>
  <c r="V15" i="25" a="1"/>
  <c r="W50" i="20" a="1"/>
  <c r="W53" i="20" a="1"/>
  <c r="W36" i="20" a="1"/>
  <c r="W32" i="20" a="1"/>
  <c r="W33" i="22" a="1"/>
  <c r="W50" i="22" a="1"/>
  <c r="W32" i="22" a="1"/>
  <c r="W26" i="21" a="1"/>
  <c r="V47" i="24" a="1"/>
  <c r="V31" i="27" a="1"/>
  <c r="V38" i="25" a="1"/>
  <c r="V20" i="27" a="1"/>
  <c r="W47" i="9" a="1"/>
  <c r="V41" i="25" a="1"/>
  <c r="W51" i="21" a="1"/>
  <c r="V50" i="27" a="1"/>
  <c r="V51" i="28" a="1"/>
  <c r="V43" i="28" a="1"/>
  <c r="V35" i="28" a="1"/>
  <c r="V20" i="29" a="1"/>
  <c r="V41" i="29" a="1"/>
  <c r="V24" i="29" a="1"/>
  <c r="V52" i="29" a="1"/>
  <c r="W33" i="9" a="1"/>
  <c r="W37" i="9" a="1"/>
  <c r="W23" i="9" a="1"/>
  <c r="W17" i="23" a="1"/>
  <c r="W20" i="23" a="1"/>
  <c r="W22" i="23" a="1"/>
  <c r="V42" i="26" a="1"/>
  <c r="V41" i="26" a="1"/>
  <c r="V49" i="26" a="1"/>
  <c r="W28" i="19" a="1"/>
  <c r="W15" i="19" a="1"/>
  <c r="W54" i="19" a="1"/>
  <c r="W22" i="19" a="1"/>
  <c r="V47" i="25" a="1"/>
  <c r="V34" i="25" a="1"/>
  <c r="V24" i="25" a="1"/>
  <c r="W37" i="20" a="1"/>
  <c r="W20" i="20" a="1"/>
  <c r="W18" i="20" a="1"/>
  <c r="W16" i="20" a="1"/>
  <c r="W44" i="22" a="1"/>
  <c r="W29" i="22" a="1"/>
  <c r="W17" i="22" a="1"/>
  <c r="W19" i="21" a="1"/>
  <c r="W49" i="21" a="1"/>
  <c r="W20" i="21" a="1"/>
  <c r="W38" i="21" a="1"/>
  <c r="V43" i="24" a="1"/>
  <c r="V48" i="24" a="1"/>
  <c r="V50" i="24" a="1"/>
  <c r="V48" i="27" a="1"/>
  <c r="V46" i="27" a="1"/>
  <c r="V37" i="27" a="1"/>
  <c r="V43" i="27" a="1"/>
  <c r="W47" i="21" a="1"/>
  <c r="W48" i="21" a="1"/>
  <c r="V32" i="24" a="1"/>
  <c r="V15" i="24" a="1"/>
  <c r="V36" i="24" a="1"/>
  <c r="V38" i="27" a="1"/>
  <c r="V18" i="27" a="1"/>
  <c r="V19" i="27" a="1"/>
  <c r="V43" i="26" a="1"/>
  <c r="W45" i="19" a="1"/>
  <c r="V53" i="25" a="1"/>
  <c r="V42" i="25" a="1"/>
  <c r="W45" i="20" a="1"/>
  <c r="W28" i="22" a="1"/>
  <c r="V30" i="24" a="1"/>
  <c r="V30" i="27" a="1"/>
  <c r="W49" i="20" a="1"/>
  <c r="V18" i="24" a="1"/>
  <c r="V33" i="27" a="1"/>
  <c r="V16" i="29" a="1"/>
  <c r="W50" i="23" a="1"/>
  <c r="W50" i="23" l="1"/>
  <c r="V16" i="29"/>
  <c r="V33" i="27"/>
  <c r="V18" i="24"/>
  <c r="W49" i="20"/>
  <c r="V30" i="27"/>
  <c r="V30" i="24"/>
  <c r="W28" i="22"/>
  <c r="W45" i="20"/>
  <c r="V42" i="25"/>
  <c r="V53" i="25"/>
  <c r="W45" i="19"/>
  <c r="V43" i="26"/>
  <c r="V19" i="27"/>
  <c r="V18" i="27"/>
  <c r="V38" i="27"/>
  <c r="V36" i="24"/>
  <c r="V15" i="24"/>
  <c r="V32" i="24"/>
  <c r="W48" i="21"/>
  <c r="W47" i="21"/>
  <c r="V43" i="27"/>
  <c r="V37" i="27"/>
  <c r="V46" i="27"/>
  <c r="V48" i="27"/>
  <c r="V50" i="24"/>
  <c r="V48" i="24"/>
  <c r="V43" i="24"/>
  <c r="W38" i="21"/>
  <c r="W20" i="21"/>
  <c r="W49" i="21"/>
  <c r="W19" i="21"/>
  <c r="W17" i="22"/>
  <c r="W29" i="22"/>
  <c r="W44" i="22"/>
  <c r="W16" i="20"/>
  <c r="W18" i="20"/>
  <c r="W20" i="20"/>
  <c r="W37" i="20"/>
  <c r="V24" i="25"/>
  <c r="V34" i="25"/>
  <c r="V47" i="25"/>
  <c r="W22" i="19"/>
  <c r="W54" i="19"/>
  <c r="W15" i="19"/>
  <c r="W28" i="19"/>
  <c r="V49" i="26"/>
  <c r="V41" i="26"/>
  <c r="V42" i="26"/>
  <c r="W22" i="23"/>
  <c r="W20" i="23"/>
  <c r="W17" i="23"/>
  <c r="W23" i="9"/>
  <c r="W37" i="9"/>
  <c r="W33" i="9"/>
  <c r="V52" i="29"/>
  <c r="V24" i="29"/>
  <c r="V41" i="29"/>
  <c r="V20" i="29"/>
  <c r="V35" i="28"/>
  <c r="V43" i="28"/>
  <c r="V51" i="28"/>
  <c r="V50" i="27"/>
  <c r="W51" i="21"/>
  <c r="V41" i="25"/>
  <c r="W47" i="9"/>
  <c r="V20" i="27"/>
  <c r="V38" i="25"/>
  <c r="V31" i="27"/>
  <c r="V47" i="24"/>
  <c r="W26" i="21"/>
  <c r="W32" i="22"/>
  <c r="W50" i="22"/>
  <c r="W33" i="22"/>
  <c r="W32" i="20"/>
  <c r="W36" i="20"/>
  <c r="W53" i="20"/>
  <c r="W50" i="20"/>
  <c r="V15" i="25"/>
  <c r="V35" i="25"/>
  <c r="V26" i="25"/>
  <c r="W35" i="19"/>
  <c r="W18" i="19"/>
  <c r="W25" i="19"/>
  <c r="W52" i="19"/>
  <c r="V29" i="26"/>
  <c r="V28" i="26"/>
  <c r="V45" i="26"/>
  <c r="W33" i="23"/>
  <c r="W26" i="23"/>
  <c r="W45" i="23"/>
  <c r="W47" i="23"/>
  <c r="W41" i="9"/>
  <c r="W38" i="9"/>
  <c r="V38" i="29"/>
  <c r="V54" i="29"/>
  <c r="V53" i="29"/>
  <c r="V26" i="29"/>
  <c r="V37" i="28"/>
  <c r="V47" i="28"/>
  <c r="V25" i="28"/>
  <c r="V41" i="27"/>
  <c r="V33" i="24"/>
  <c r="W52" i="21"/>
  <c r="V44" i="25"/>
  <c r="W21" i="19"/>
  <c r="W41" i="23"/>
  <c r="W54" i="21"/>
  <c r="W41" i="22"/>
  <c r="W19" i="19"/>
  <c r="V15" i="27"/>
  <c r="V39" i="27"/>
  <c r="W43" i="21"/>
  <c r="V22" i="24"/>
  <c r="W30" i="22"/>
  <c r="W36" i="22"/>
  <c r="W25" i="22"/>
  <c r="W30" i="20"/>
  <c r="W26" i="20"/>
  <c r="W27" i="20"/>
  <c r="W51" i="20"/>
  <c r="V20" i="25"/>
  <c r="W44" i="19"/>
  <c r="W29" i="23"/>
  <c r="W40" i="9"/>
  <c r="V28" i="29"/>
  <c r="V38" i="28"/>
  <c r="W34" i="23"/>
  <c r="W26" i="9"/>
  <c r="V32" i="28"/>
  <c r="V39" i="24"/>
  <c r="W18" i="21"/>
  <c r="W54" i="22"/>
  <c r="V36" i="27"/>
  <c r="V45" i="24"/>
  <c r="W37" i="21"/>
  <c r="V52" i="27"/>
  <c r="V26" i="27"/>
  <c r="V24" i="27"/>
  <c r="V47" i="27"/>
  <c r="V49" i="24"/>
  <c r="V38" i="24"/>
  <c r="W17" i="21"/>
  <c r="W27" i="21"/>
  <c r="W45" i="21"/>
  <c r="V22" i="25"/>
  <c r="W39" i="19"/>
  <c r="W36" i="19"/>
  <c r="W27" i="19"/>
  <c r="V39" i="26"/>
  <c r="V44" i="26"/>
  <c r="V19" i="26"/>
  <c r="W30" i="23"/>
  <c r="W38" i="23"/>
  <c r="W46" i="23"/>
  <c r="W19" i="9"/>
  <c r="W18" i="9"/>
  <c r="V43" i="29"/>
  <c r="V42" i="29"/>
  <c r="V19" i="29"/>
  <c r="V45" i="28"/>
  <c r="V42" i="28"/>
  <c r="V51" i="27"/>
  <c r="V29" i="27"/>
  <c r="V54" i="27"/>
  <c r="V52" i="24"/>
  <c r="V28" i="24"/>
  <c r="V29" i="24"/>
  <c r="W41" i="21"/>
  <c r="W24" i="21"/>
  <c r="W46" i="21"/>
  <c r="W16" i="21"/>
  <c r="W53" i="22"/>
  <c r="W38" i="22"/>
  <c r="W22" i="22"/>
  <c r="W34" i="20"/>
  <c r="W44" i="20"/>
  <c r="W29" i="20"/>
  <c r="W21" i="20"/>
  <c r="V29" i="25"/>
  <c r="V23" i="25"/>
  <c r="V39" i="25"/>
  <c r="W31" i="19"/>
  <c r="W34" i="19"/>
  <c r="W53" i="19"/>
  <c r="W17" i="19"/>
  <c r="V52" i="26"/>
  <c r="V21" i="26"/>
  <c r="V53" i="26"/>
  <c r="W51" i="23"/>
  <c r="W52" i="23"/>
  <c r="W44" i="23"/>
  <c r="W54" i="23"/>
  <c r="W36" i="9"/>
  <c r="W54" i="9"/>
  <c r="W44" i="9"/>
  <c r="V25" i="29"/>
  <c r="V51" i="29"/>
  <c r="V35" i="29"/>
  <c r="V17" i="29"/>
  <c r="V49" i="28"/>
  <c r="V17" i="28"/>
  <c r="V18" i="28"/>
  <c r="W33" i="19"/>
  <c r="W19" i="23"/>
  <c r="V22" i="29"/>
  <c r="V20" i="28"/>
  <c r="V28" i="27"/>
  <c r="W35" i="21"/>
  <c r="V46" i="25"/>
  <c r="W32" i="19"/>
  <c r="V17" i="26"/>
  <c r="W21" i="23"/>
  <c r="W52" i="9"/>
  <c r="V20" i="24"/>
  <c r="W21" i="21"/>
  <c r="W24" i="20"/>
  <c r="V40" i="25"/>
  <c r="W38" i="19"/>
  <c r="W49" i="19"/>
  <c r="V46" i="26"/>
  <c r="V18" i="26"/>
  <c r="V22" i="26"/>
  <c r="W15" i="23"/>
  <c r="W42" i="23"/>
  <c r="W24" i="23"/>
  <c r="W29" i="9"/>
  <c r="W48" i="9"/>
  <c r="W39" i="9"/>
  <c r="V46" i="29"/>
  <c r="V48" i="29"/>
  <c r="V15" i="29"/>
  <c r="V31" i="28"/>
  <c r="V19" i="28"/>
  <c r="V21" i="28"/>
  <c r="V17" i="27"/>
  <c r="V23" i="24"/>
  <c r="W44" i="21"/>
  <c r="W42" i="22"/>
  <c r="W43" i="20"/>
  <c r="W19" i="20"/>
  <c r="W40" i="20"/>
  <c r="W20" i="19"/>
  <c r="V24" i="26"/>
  <c r="V44" i="29"/>
  <c r="V53" i="28"/>
  <c r="V44" i="24"/>
  <c r="W23" i="23"/>
  <c r="W17" i="9"/>
  <c r="V45" i="29"/>
  <c r="V33" i="29"/>
  <c r="V16" i="28"/>
  <c r="W29" i="21"/>
  <c r="W54" i="20"/>
  <c r="V34" i="27"/>
  <c r="V19" i="24"/>
  <c r="V35" i="24"/>
  <c r="V54" i="24"/>
  <c r="V21" i="24"/>
  <c r="W28" i="21"/>
  <c r="W39" i="21"/>
  <c r="W22" i="21"/>
  <c r="W18" i="22"/>
  <c r="W27" i="22"/>
  <c r="W24" i="22"/>
  <c r="W16" i="22"/>
  <c r="W25" i="20"/>
  <c r="W39" i="20"/>
  <c r="W42" i="20"/>
  <c r="V27" i="25"/>
  <c r="V25" i="25"/>
  <c r="V37" i="25"/>
  <c r="V16" i="25"/>
  <c r="W29" i="19"/>
  <c r="W16" i="19"/>
  <c r="W41" i="19"/>
  <c r="V34" i="26"/>
  <c r="V40" i="26"/>
  <c r="V35" i="26"/>
  <c r="V26" i="26"/>
  <c r="W43" i="23"/>
  <c r="W49" i="23"/>
  <c r="W28" i="23"/>
  <c r="W31" i="9"/>
  <c r="W25" i="9"/>
  <c r="W27" i="9"/>
  <c r="W22" i="9"/>
  <c r="V21" i="29"/>
  <c r="V31" i="29"/>
  <c r="V50" i="29"/>
  <c r="V36" i="28"/>
  <c r="V52" i="28"/>
  <c r="V33" i="28"/>
  <c r="V50" i="28"/>
  <c r="V53" i="27"/>
  <c r="W33" i="21"/>
  <c r="W37" i="22"/>
  <c r="W48" i="20"/>
  <c r="V32" i="26"/>
  <c r="V36" i="29"/>
  <c r="W24" i="19"/>
  <c r="W40" i="23"/>
  <c r="W31" i="20"/>
  <c r="V21" i="25"/>
  <c r="V23" i="27"/>
  <c r="V26" i="24"/>
  <c r="W15" i="21"/>
  <c r="W23" i="22"/>
  <c r="W35" i="22"/>
  <c r="W46" i="20"/>
  <c r="W28" i="20"/>
  <c r="V32" i="25"/>
  <c r="V17" i="25"/>
  <c r="V33" i="25"/>
  <c r="V49" i="25"/>
  <c r="W26" i="19"/>
  <c r="W47" i="19"/>
  <c r="W42" i="19"/>
  <c r="V20" i="26"/>
  <c r="V33" i="26"/>
  <c r="V48" i="26"/>
  <c r="V31" i="26"/>
  <c r="W36" i="23"/>
  <c r="W37" i="23"/>
  <c r="W30" i="9"/>
  <c r="W28" i="9"/>
  <c r="W53" i="9"/>
  <c r="W45" i="9"/>
  <c r="V27" i="29"/>
  <c r="V49" i="29"/>
  <c r="V32" i="29"/>
  <c r="V54" i="28"/>
  <c r="V29" i="28"/>
  <c r="V44" i="28"/>
  <c r="V22" i="28"/>
  <c r="V51" i="24"/>
  <c r="W40" i="22"/>
  <c r="V45" i="25"/>
  <c r="V15" i="26"/>
  <c r="V27" i="27"/>
  <c r="V22" i="27"/>
  <c r="V16" i="27"/>
  <c r="V41" i="24"/>
  <c r="V34" i="24"/>
  <c r="W42" i="21"/>
  <c r="W34" i="22"/>
  <c r="W43" i="22"/>
  <c r="W47" i="22"/>
  <c r="W51" i="22"/>
  <c r="V51" i="25"/>
  <c r="V32" i="27"/>
  <c r="V44" i="27"/>
  <c r="V35" i="27"/>
  <c r="V49" i="27"/>
  <c r="V31" i="24"/>
  <c r="V25" i="24"/>
  <c r="V46" i="24"/>
  <c r="W36" i="21"/>
  <c r="W30" i="21"/>
  <c r="W48" i="22"/>
  <c r="W31" i="22"/>
  <c r="W33" i="20"/>
  <c r="V45" i="27"/>
  <c r="V40" i="27"/>
  <c r="V42" i="27"/>
  <c r="V16" i="24"/>
  <c r="V27" i="24"/>
  <c r="V17" i="24"/>
  <c r="V53" i="24"/>
  <c r="W53" i="21"/>
  <c r="W25" i="21"/>
  <c r="W23" i="21"/>
  <c r="W46" i="22"/>
  <c r="W49" i="22"/>
  <c r="W52" i="22"/>
  <c r="W19" i="22"/>
  <c r="W22" i="20"/>
  <c r="W52" i="20"/>
  <c r="W23" i="20"/>
  <c r="V48" i="25"/>
  <c r="V50" i="25"/>
  <c r="V30" i="25"/>
  <c r="V54" i="25"/>
  <c r="W48" i="19"/>
  <c r="W46" i="19"/>
  <c r="W43" i="19"/>
  <c r="V30" i="26"/>
  <c r="V47" i="26"/>
  <c r="V51" i="26"/>
  <c r="V23" i="26"/>
  <c r="W32" i="23"/>
  <c r="W39" i="23"/>
  <c r="W25" i="23"/>
  <c r="W35" i="9"/>
  <c r="W16" i="9"/>
  <c r="W24" i="9"/>
  <c r="W15" i="9"/>
  <c r="V47" i="29"/>
  <c r="V23" i="29"/>
  <c r="V30" i="29"/>
  <c r="V34" i="28"/>
  <c r="V27" i="28"/>
  <c r="V26" i="28"/>
  <c r="V41" i="28"/>
  <c r="W42" i="9"/>
  <c r="W31" i="21"/>
  <c r="W15" i="20"/>
  <c r="V31" i="25"/>
  <c r="V50" i="26"/>
  <c r="W48" i="23"/>
  <c r="W34" i="9"/>
  <c r="V39" i="28"/>
  <c r="V25" i="27"/>
  <c r="V40" i="24"/>
  <c r="W35" i="20"/>
  <c r="W51" i="19"/>
  <c r="V54" i="26"/>
  <c r="V25" i="26"/>
  <c r="V16" i="26"/>
  <c r="W18" i="23"/>
  <c r="W35" i="23"/>
  <c r="W27" i="23"/>
  <c r="W51" i="9"/>
  <c r="W46" i="9"/>
  <c r="W50" i="9"/>
  <c r="W49" i="9"/>
  <c r="V18" i="29"/>
  <c r="V29" i="29"/>
  <c r="V39" i="29"/>
  <c r="V46" i="28"/>
  <c r="V40" i="28"/>
  <c r="V15" i="28"/>
  <c r="V48" i="28"/>
  <c r="W47" i="20"/>
  <c r="W37" i="19"/>
  <c r="V38" i="26"/>
  <c r="V37" i="29"/>
  <c r="V21" i="27"/>
  <c r="V37" i="24"/>
  <c r="V42" i="24"/>
  <c r="W34" i="21"/>
  <c r="W32" i="21"/>
  <c r="W40" i="21"/>
  <c r="W21" i="22"/>
  <c r="W26" i="22"/>
  <c r="W45" i="22"/>
  <c r="V18" i="25"/>
  <c r="V52" i="25"/>
  <c r="W30" i="19"/>
  <c r="V24" i="24"/>
  <c r="W50" i="21"/>
  <c r="W20" i="22"/>
  <c r="W15" i="22"/>
  <c r="W39" i="22"/>
  <c r="W17" i="20"/>
  <c r="W38" i="20"/>
  <c r="W41" i="20"/>
  <c r="V36" i="25"/>
  <c r="V28" i="25"/>
  <c r="V43" i="25"/>
  <c r="V19" i="25"/>
  <c r="W23" i="19"/>
  <c r="W40" i="19"/>
  <c r="W50" i="19"/>
  <c r="V36" i="26"/>
  <c r="V37" i="26"/>
  <c r="V27" i="26"/>
  <c r="W31" i="23"/>
  <c r="W53" i="23"/>
  <c r="W16" i="23"/>
  <c r="W32" i="9"/>
  <c r="W21" i="9"/>
  <c r="W20" i="9"/>
  <c r="W43" i="9"/>
  <c r="V40" i="29"/>
  <c r="V34" i="29"/>
  <c r="V24" i="28"/>
  <c r="V23" i="28"/>
  <c r="V28" i="28"/>
  <c r="V30" i="28"/>
  <c r="Y11" i="23"/>
  <c r="X12" i="23"/>
  <c r="Y11" i="21"/>
  <c r="X12" i="21"/>
  <c r="X12" i="9"/>
  <c r="Y11" i="9"/>
  <c r="X11" i="27"/>
  <c r="W12" i="27"/>
  <c r="Y11" i="20"/>
  <c r="X12" i="20"/>
  <c r="W12" i="26"/>
  <c r="X11" i="26"/>
  <c r="X11" i="28"/>
  <c r="W12" i="28"/>
  <c r="W12" i="24"/>
  <c r="X11" i="24"/>
  <c r="Y11" i="19"/>
  <c r="X12" i="19"/>
  <c r="W12" i="25"/>
  <c r="X11" i="25"/>
  <c r="X12" i="22"/>
  <c r="Y11" i="22"/>
  <c r="W12" i="29"/>
  <c r="X11" i="29"/>
  <c r="X16" i="23" a="1"/>
  <c r="X21" i="23" a="1"/>
  <c r="X37" i="23" a="1"/>
  <c r="X31" i="21" a="1"/>
  <c r="X39" i="21" a="1"/>
  <c r="X54" i="21" a="1"/>
  <c r="X40" i="9" a="1"/>
  <c r="X41" i="9" a="1"/>
  <c r="X19" i="9" a="1"/>
  <c r="X36" i="9" a="1"/>
  <c r="W49" i="27" a="1"/>
  <c r="W24" i="27" a="1"/>
  <c r="W41" i="27" a="1"/>
  <c r="X40" i="20" a="1"/>
  <c r="X29" i="20" a="1"/>
  <c r="X42" i="20" a="1"/>
  <c r="X50" i="20" a="1"/>
  <c r="W33" i="26" a="1"/>
  <c r="W42" i="26" a="1"/>
  <c r="W26" i="26" a="1"/>
  <c r="W43" i="28" a="1"/>
  <c r="W17" i="28" a="1"/>
  <c r="W39" i="28" a="1"/>
  <c r="W45" i="28" a="1"/>
  <c r="W19" i="24" a="1"/>
  <c r="W45" i="24" a="1"/>
  <c r="W24" i="24" a="1"/>
  <c r="X51" i="19" a="1"/>
  <c r="X41" i="19" a="1"/>
  <c r="X50" i="19" a="1"/>
  <c r="X31" i="19" a="1"/>
  <c r="W39" i="25" a="1"/>
  <c r="W30" i="25" a="1"/>
  <c r="W46" i="25" a="1"/>
  <c r="X31" i="22" a="1"/>
  <c r="X52" i="22" a="1"/>
  <c r="X24" i="22" a="1"/>
  <c r="X17" i="22" a="1"/>
  <c r="W50" i="29" a="1"/>
  <c r="W26" i="29" a="1"/>
  <c r="W17" i="24" a="1"/>
  <c r="X17" i="19" a="1"/>
  <c r="X26" i="19" a="1"/>
  <c r="X37" i="19" a="1"/>
  <c r="W27" i="25" a="1"/>
  <c r="W25" i="25" a="1"/>
  <c r="X42" i="22" a="1"/>
  <c r="X36" i="22" a="1"/>
  <c r="X49" i="22" a="1"/>
  <c r="W28" i="29" a="1"/>
  <c r="X29" i="22" a="1"/>
  <c r="W36" i="29" a="1"/>
  <c r="W46" i="28" a="1"/>
  <c r="W18" i="24" a="1"/>
  <c r="X47" i="19" a="1"/>
  <c r="W50" i="25" a="1"/>
  <c r="X40" i="22" a="1"/>
  <c r="W33" i="29" a="1"/>
  <c r="W32" i="29" a="1"/>
  <c r="X15" i="21" a="1"/>
  <c r="W31" i="26" a="1"/>
  <c r="W33" i="24" a="1"/>
  <c r="W45" i="25" a="1"/>
  <c r="X41" i="22" a="1"/>
  <c r="W48" i="29" a="1"/>
  <c r="X29" i="23" a="1"/>
  <c r="X41" i="23" a="1"/>
  <c r="X22" i="23" a="1"/>
  <c r="X19" i="23" a="1"/>
  <c r="X21" i="21" a="1"/>
  <c r="X20" i="21" a="1"/>
  <c r="X34" i="21" a="1"/>
  <c r="X44" i="9" a="1"/>
  <c r="X16" i="9" a="1"/>
  <c r="X21" i="9" a="1"/>
  <c r="X45" i="9" a="1"/>
  <c r="W42" i="27" a="1"/>
  <c r="W46" i="27" a="1"/>
  <c r="W18" i="27" a="1"/>
  <c r="X47" i="20" a="1"/>
  <c r="X53" i="20" a="1"/>
  <c r="X44" i="20" a="1"/>
  <c r="X34" i="20" a="1"/>
  <c r="W35" i="26" a="1"/>
  <c r="W36" i="26" a="1"/>
  <c r="W32" i="28" a="1"/>
  <c r="W28" i="28" a="1"/>
  <c r="W34" i="28" a="1"/>
  <c r="W21" i="24" a="1"/>
  <c r="X19" i="19" a="1"/>
  <c r="X38" i="22" a="1"/>
  <c r="W35" i="29" a="1"/>
  <c r="X19" i="22" a="1"/>
  <c r="W41" i="29" a="1"/>
  <c r="W31" i="29" a="1"/>
  <c r="X29" i="9" a="1"/>
  <c r="W22" i="24" a="1"/>
  <c r="W40" i="24" a="1"/>
  <c r="X35" i="19" a="1"/>
  <c r="W26" i="25" a="1"/>
  <c r="X39" i="23" a="1"/>
  <c r="X49" i="23" a="1"/>
  <c r="X20" i="23" a="1"/>
  <c r="X48" i="23" a="1"/>
  <c r="X53" i="21" a="1"/>
  <c r="X49" i="21" a="1"/>
  <c r="X23" i="21" a="1"/>
  <c r="X20" i="9" a="1"/>
  <c r="X35" i="9" a="1"/>
  <c r="X27" i="9" a="1"/>
  <c r="W17" i="27" a="1"/>
  <c r="W19" i="27" a="1"/>
  <c r="W15" i="27" a="1"/>
  <c r="X25" i="20" a="1"/>
  <c r="X39" i="20" a="1"/>
  <c r="X27" i="20" a="1"/>
  <c r="X36" i="20" a="1"/>
  <c r="W53" i="26" a="1"/>
  <c r="W18" i="26" a="1"/>
  <c r="W50" i="26" a="1"/>
  <c r="W35" i="28" a="1"/>
  <c r="W51" i="28" a="1"/>
  <c r="W18" i="28" a="1"/>
  <c r="W20" i="28" a="1"/>
  <c r="W43" i="24" a="1"/>
  <c r="W27" i="24" a="1"/>
  <c r="W37" i="24" a="1"/>
  <c r="X38" i="19" a="1"/>
  <c r="X23" i="19" a="1"/>
  <c r="X18" i="19" a="1"/>
  <c r="W48" i="25" a="1"/>
  <c r="W54" i="25" a="1"/>
  <c r="W32" i="25" a="1"/>
  <c r="X33" i="22" a="1"/>
  <c r="X15" i="22" a="1"/>
  <c r="X20" i="22" a="1"/>
  <c r="X22" i="22" a="1"/>
  <c r="W47" i="29" a="1"/>
  <c r="W38" i="29" a="1"/>
  <c r="W15" i="29" a="1"/>
  <c r="W36" i="25" a="1"/>
  <c r="W19" i="25" a="1"/>
  <c r="W47" i="25" a="1"/>
  <c r="X37" i="22" a="1"/>
  <c r="X43" i="23" a="1"/>
  <c r="X39" i="9" a="1"/>
  <c r="W33" i="27" a="1"/>
  <c r="W45" i="27" a="1"/>
  <c r="W48" i="27" a="1"/>
  <c r="W17" i="26" a="1"/>
  <c r="W52" i="26" a="1"/>
  <c r="W47" i="28" a="1"/>
  <c r="X16" i="19" a="1"/>
  <c r="W20" i="25" a="1"/>
  <c r="W24" i="25" a="1"/>
  <c r="X35" i="22" a="1"/>
  <c r="W27" i="29" a="1"/>
  <c r="X38" i="21" a="1"/>
  <c r="W47" i="27" a="1"/>
  <c r="W23" i="26" a="1"/>
  <c r="W53" i="28" a="1"/>
  <c r="W44" i="24" a="1"/>
  <c r="X20" i="19" a="1"/>
  <c r="W19" i="29" a="1"/>
  <c r="X17" i="23" a="1"/>
  <c r="X38" i="23" a="1"/>
  <c r="X33" i="23" a="1"/>
  <c r="X46" i="23" a="1"/>
  <c r="X33" i="21" a="1"/>
  <c r="X36" i="21" a="1"/>
  <c r="X19" i="21" a="1"/>
  <c r="X17" i="9" a="1"/>
  <c r="X42" i="9" a="1"/>
  <c r="X31" i="9" a="1"/>
  <c r="X32" i="9" a="1"/>
  <c r="W51" i="27" a="1"/>
  <c r="W35" i="27" a="1"/>
  <c r="W30" i="27" a="1"/>
  <c r="X35" i="20" a="1"/>
  <c r="X32" i="20" a="1"/>
  <c r="X41" i="20" a="1"/>
  <c r="X52" i="20" a="1"/>
  <c r="W40" i="26" a="1"/>
  <c r="W24" i="26" a="1"/>
  <c r="W15" i="28" a="1"/>
  <c r="W16" i="28" a="1"/>
  <c r="W49" i="28" a="1"/>
  <c r="W48" i="28" a="1"/>
  <c r="W15" i="24" a="1"/>
  <c r="W32" i="24" a="1"/>
  <c r="W20" i="24" a="1"/>
  <c r="X15" i="19" a="1"/>
  <c r="X22" i="19" a="1"/>
  <c r="X44" i="19" a="1"/>
  <c r="X43" i="22" a="1"/>
  <c r="X52" i="23" a="1"/>
  <c r="W43" i="26" a="1"/>
  <c r="X30" i="22" a="1"/>
  <c r="W30" i="29" a="1"/>
  <c r="X47" i="23" a="1"/>
  <c r="X45" i="23" a="1"/>
  <c r="X42" i="23" a="1"/>
  <c r="X36" i="23" a="1"/>
  <c r="X46" i="21" a="1"/>
  <c r="X52" i="21" a="1"/>
  <c r="X45" i="21" a="1"/>
  <c r="X52" i="9" a="1"/>
  <c r="X33" i="9" a="1"/>
  <c r="X26" i="9" a="1"/>
  <c r="X34" i="9" a="1"/>
  <c r="W29" i="27" a="1"/>
  <c r="W44" i="27" a="1"/>
  <c r="W16" i="27" a="1"/>
  <c r="X45" i="20" a="1"/>
  <c r="X43" i="20" a="1"/>
  <c r="X23" i="20" a="1"/>
  <c r="X21" i="20" a="1"/>
  <c r="W27" i="26" a="1"/>
  <c r="W51" i="26" a="1"/>
  <c r="W32" i="26" a="1"/>
  <c r="W33" i="28" a="1"/>
  <c r="W54" i="28" a="1"/>
  <c r="W29" i="28" a="1"/>
  <c r="W50" i="28" a="1"/>
  <c r="W54" i="24" a="1"/>
  <c r="W46" i="24" a="1"/>
  <c r="W52" i="24" a="1"/>
  <c r="X48" i="19" a="1"/>
  <c r="X21" i="19" a="1"/>
  <c r="X49" i="19" a="1"/>
  <c r="X28" i="19" a="1"/>
  <c r="W52" i="25" a="1"/>
  <c r="W22" i="25" a="1"/>
  <c r="W42" i="25" a="1"/>
  <c r="X23" i="22" a="1"/>
  <c r="X45" i="22" a="1"/>
  <c r="X44" i="22" a="1"/>
  <c r="W22" i="29" a="1"/>
  <c r="W29" i="29" a="1"/>
  <c r="W25" i="29" a="1"/>
  <c r="X51" i="23" a="1"/>
  <c r="X30" i="21" a="1"/>
  <c r="X47" i="21" a="1"/>
  <c r="X32" i="21" a="1"/>
  <c r="X24" i="9" a="1"/>
  <c r="W40" i="27" a="1"/>
  <c r="X54" i="20" a="1"/>
  <c r="X19" i="20" a="1"/>
  <c r="W54" i="26" a="1"/>
  <c r="W26" i="28" a="1"/>
  <c r="X28" i="23" a="1"/>
  <c r="X15" i="23" a="1"/>
  <c r="X35" i="23" a="1"/>
  <c r="X43" i="21" a="1"/>
  <c r="X18" i="21" a="1"/>
  <c r="X29" i="21" a="1"/>
  <c r="X48" i="21" a="1"/>
  <c r="X49" i="9" a="1"/>
  <c r="X37" i="9" a="1"/>
  <c r="X53" i="9" a="1"/>
  <c r="W26" i="27" a="1"/>
  <c r="W50" i="27" a="1"/>
  <c r="W31" i="27" a="1"/>
  <c r="W38" i="27" a="1"/>
  <c r="X24" i="20" a="1"/>
  <c r="X26" i="20" a="1"/>
  <c r="W25" i="26" a="1"/>
  <c r="W44" i="26" a="1"/>
  <c r="W45" i="26" a="1"/>
  <c r="W20" i="26" a="1"/>
  <c r="W36" i="28" a="1"/>
  <c r="W38" i="28" a="1"/>
  <c r="W35" i="24" a="1"/>
  <c r="W42" i="24" a="1"/>
  <c r="W28" i="24" a="1"/>
  <c r="W41" i="24" a="1"/>
  <c r="X30" i="19" a="1"/>
  <c r="X54" i="19" a="1"/>
  <c r="X32" i="19" a="1"/>
  <c r="W43" i="25" a="1"/>
  <c r="W28" i="25" a="1"/>
  <c r="W23" i="25" a="1"/>
  <c r="W49" i="25" a="1"/>
  <c r="X46" i="22" a="1"/>
  <c r="X26" i="22" a="1"/>
  <c r="X54" i="22" a="1"/>
  <c r="W43" i="29" a="1"/>
  <c r="W52" i="29" a="1"/>
  <c r="W37" i="29" a="1"/>
  <c r="W42" i="29" a="1"/>
  <c r="W46" i="29" a="1"/>
  <c r="W46" i="26" a="1"/>
  <c r="X45" i="19" a="1"/>
  <c r="W33" i="25" a="1"/>
  <c r="W51" i="29" a="1"/>
  <c r="W44" i="29" a="1"/>
  <c r="X22" i="9" a="1"/>
  <c r="X48" i="9" a="1"/>
  <c r="W25" i="27" a="1"/>
  <c r="W36" i="27" a="1"/>
  <c r="X22" i="20" a="1"/>
  <c r="W21" i="26" a="1"/>
  <c r="X29" i="19" a="1"/>
  <c r="W54" i="29" a="1"/>
  <c r="X27" i="23" a="1"/>
  <c r="X40" i="21" a="1"/>
  <c r="W21" i="27" a="1"/>
  <c r="X31" i="20" a="1"/>
  <c r="W49" i="26" a="1"/>
  <c r="X36" i="19" a="1"/>
  <c r="X32" i="22" a="1"/>
  <c r="W20" i="29" a="1"/>
  <c r="X32" i="23" a="1"/>
  <c r="X17" i="21" a="1"/>
  <c r="X28" i="9" a="1"/>
  <c r="X30" i="20" a="1"/>
  <c r="W45" i="29" a="1"/>
  <c r="X53" i="23" a="1"/>
  <c r="X31" i="23" a="1"/>
  <c r="X30" i="23" a="1"/>
  <c r="X41" i="21" a="1"/>
  <c r="X42" i="21" a="1"/>
  <c r="X35" i="21" a="1"/>
  <c r="X24" i="21" a="1"/>
  <c r="X46" i="9" a="1"/>
  <c r="X23" i="9" a="1"/>
  <c r="X18" i="9" a="1"/>
  <c r="W28" i="27" a="1"/>
  <c r="W54" i="27" a="1"/>
  <c r="W37" i="27" a="1"/>
  <c r="X18" i="20" a="1"/>
  <c r="X33" i="20" a="1"/>
  <c r="X51" i="20" a="1"/>
  <c r="W22" i="26" a="1"/>
  <c r="W37" i="26" a="1"/>
  <c r="W47" i="26" a="1"/>
  <c r="W29" i="26" a="1"/>
  <c r="W40" i="28" a="1"/>
  <c r="W31" i="28" a="1"/>
  <c r="W27" i="28" a="1"/>
  <c r="W26" i="24" a="1"/>
  <c r="W48" i="24" a="1"/>
  <c r="W25" i="24" a="1"/>
  <c r="W47" i="24" a="1"/>
  <c r="X53" i="19" a="1"/>
  <c r="X39" i="19" a="1"/>
  <c r="X25" i="19" a="1"/>
  <c r="W51" i="25" a="1"/>
  <c r="W41" i="25" a="1"/>
  <c r="W53" i="25" a="1"/>
  <c r="W40" i="25" a="1"/>
  <c r="X27" i="22" a="1"/>
  <c r="X48" i="22" a="1"/>
  <c r="X25" i="22" a="1"/>
  <c r="W17" i="29" a="1"/>
  <c r="W23" i="29" a="1"/>
  <c r="W53" i="29" a="1"/>
  <c r="W30" i="28" a="1"/>
  <c r="W36" i="24" a="1"/>
  <c r="X52" i="19" a="1"/>
  <c r="W44" i="25" a="1"/>
  <c r="W34" i="25" a="1"/>
  <c r="X53" i="22" a="1"/>
  <c r="X18" i="22" a="1"/>
  <c r="X50" i="22" a="1"/>
  <c r="W21" i="29" a="1"/>
  <c r="W38" i="26" a="1"/>
  <c r="W16" i="24" a="1"/>
  <c r="W17" i="25" a="1"/>
  <c r="X21" i="22" a="1"/>
  <c r="W40" i="29" a="1"/>
  <c r="X22" i="21" a="1"/>
  <c r="X43" i="9" a="1"/>
  <c r="W37" i="28" a="1"/>
  <c r="W24" i="28" a="1"/>
  <c r="W49" i="24" a="1"/>
  <c r="X34" i="19" a="1"/>
  <c r="W31" i="25" a="1"/>
  <c r="X28" i="22" a="1"/>
  <c r="W34" i="29" a="1"/>
  <c r="X26" i="23" a="1"/>
  <c r="X54" i="9" a="1"/>
  <c r="W22" i="27" a="1"/>
  <c r="W41" i="26" a="1"/>
  <c r="W39" i="26" a="1"/>
  <c r="W22" i="28" a="1"/>
  <c r="W34" i="24" a="1"/>
  <c r="X43" i="19" a="1"/>
  <c r="X39" i="22" a="1"/>
  <c r="X24" i="23" a="1"/>
  <c r="X54" i="23" a="1"/>
  <c r="X18" i="23" a="1"/>
  <c r="X37" i="21" a="1"/>
  <c r="X25" i="21" a="1"/>
  <c r="X16" i="21" a="1"/>
  <c r="X47" i="9" a="1"/>
  <c r="X25" i="9" a="1"/>
  <c r="X30" i="9" a="1"/>
  <c r="W52" i="27" a="1"/>
  <c r="W32" i="27" a="1"/>
  <c r="W34" i="27" a="1"/>
  <c r="W43" i="27" a="1"/>
  <c r="X37" i="20" a="1"/>
  <c r="X15" i="20" a="1"/>
  <c r="X16" i="20" a="1"/>
  <c r="W28" i="26" a="1"/>
  <c r="W34" i="26" a="1"/>
  <c r="W15" i="26" a="1"/>
  <c r="W21" i="28" a="1"/>
  <c r="W41" i="28" a="1"/>
  <c r="W50" i="24" a="1"/>
  <c r="W51" i="24" a="1"/>
  <c r="W30" i="24" a="1"/>
  <c r="X42" i="19" a="1"/>
  <c r="W49" i="29" a="1"/>
  <c r="X25" i="23" a="1"/>
  <c r="X23" i="23" a="1"/>
  <c r="X27" i="21" a="1"/>
  <c r="X50" i="21" a="1"/>
  <c r="X28" i="21" a="1"/>
  <c r="X50" i="9" a="1"/>
  <c r="W23" i="27" a="1"/>
  <c r="X28" i="20" a="1"/>
  <c r="W30" i="26" a="1"/>
  <c r="W23" i="28" a="1"/>
  <c r="W52" i="28" a="1"/>
  <c r="W19" i="28" a="1"/>
  <c r="W39" i="24" a="1"/>
  <c r="W53" i="24" a="1"/>
  <c r="X46" i="19" a="1"/>
  <c r="W21" i="25" a="1"/>
  <c r="W29" i="25" a="1"/>
  <c r="W35" i="25" a="1"/>
  <c r="W24" i="29" a="1"/>
  <c r="W39" i="29" a="1"/>
  <c r="X34" i="23" a="1"/>
  <c r="X40" i="23" a="1"/>
  <c r="X26" i="21" a="1"/>
  <c r="X15" i="9" a="1"/>
  <c r="X38" i="9" a="1"/>
  <c r="W53" i="27" a="1"/>
  <c r="X20" i="20" a="1"/>
  <c r="X48" i="20" a="1"/>
  <c r="W19" i="26" a="1"/>
  <c r="W42" i="28" a="1"/>
  <c r="W31" i="24" a="1"/>
  <c r="W38" i="25" a="1"/>
  <c r="X34" i="22" a="1"/>
  <c r="X38" i="20" a="1"/>
  <c r="W23" i="24" a="1"/>
  <c r="W16" i="25" a="1"/>
  <c r="W18" i="29" a="1"/>
  <c r="X51" i="21" a="1"/>
  <c r="W39" i="27" a="1"/>
  <c r="X46" i="20" a="1"/>
  <c r="W16" i="26" a="1"/>
  <c r="W38" i="24" a="1"/>
  <c r="X27" i="19" a="1"/>
  <c r="X47" i="22" a="1"/>
  <c r="X50" i="23" a="1"/>
  <c r="X51" i="9" a="1"/>
  <c r="W27" i="27" a="1"/>
  <c r="X17" i="20" a="1"/>
  <c r="W48" i="26" a="1"/>
  <c r="W25" i="28" a="1"/>
  <c r="W29" i="24" a="1"/>
  <c r="X24" i="19" a="1"/>
  <c r="X40" i="19" a="1"/>
  <c r="W15" i="25" a="1"/>
  <c r="X51" i="22" a="1"/>
  <c r="W16" i="29" a="1"/>
  <c r="X44" i="23" a="1"/>
  <c r="X44" i="21" a="1"/>
  <c r="W20" i="27" a="1"/>
  <c r="X49" i="20" a="1"/>
  <c r="W44" i="28" a="1"/>
  <c r="X33" i="19" a="1"/>
  <c r="W37" i="25" a="1"/>
  <c r="W18" i="25" a="1"/>
  <c r="X16" i="22" a="1"/>
  <c r="X16" i="22" l="1"/>
  <c r="W18" i="25"/>
  <c r="W37" i="25"/>
  <c r="X33" i="19"/>
  <c r="W44" i="28"/>
  <c r="X49" i="20"/>
  <c r="W20" i="27"/>
  <c r="X44" i="21"/>
  <c r="X44" i="23"/>
  <c r="W16" i="29"/>
  <c r="X51" i="22"/>
  <c r="W15" i="25"/>
  <c r="X40" i="19"/>
  <c r="X24" i="19"/>
  <c r="W29" i="24"/>
  <c r="W25" i="28"/>
  <c r="W48" i="26"/>
  <c r="X17" i="20"/>
  <c r="W27" i="27"/>
  <c r="X51" i="9"/>
  <c r="X50" i="23"/>
  <c r="X47" i="22"/>
  <c r="X27" i="19"/>
  <c r="W38" i="24"/>
  <c r="W16" i="26"/>
  <c r="X46" i="20"/>
  <c r="W39" i="27"/>
  <c r="X51" i="21"/>
  <c r="W18" i="29"/>
  <c r="W16" i="25"/>
  <c r="W23" i="24"/>
  <c r="X38" i="20"/>
  <c r="X34" i="22"/>
  <c r="W38" i="25"/>
  <c r="W31" i="24"/>
  <c r="W42" i="28"/>
  <c r="W19" i="26"/>
  <c r="X48" i="20"/>
  <c r="X20" i="20"/>
  <c r="W53" i="27"/>
  <c r="X38" i="9"/>
  <c r="X15" i="9"/>
  <c r="X26" i="21"/>
  <c r="X40" i="23"/>
  <c r="X34" i="23"/>
  <c r="W39" i="29"/>
  <c r="W24" i="29"/>
  <c r="W35" i="25"/>
  <c r="W29" i="25"/>
  <c r="W21" i="25"/>
  <c r="X46" i="19"/>
  <c r="W53" i="24"/>
  <c r="W39" i="24"/>
  <c r="W19" i="28"/>
  <c r="W52" i="28"/>
  <c r="W23" i="28"/>
  <c r="W30" i="26"/>
  <c r="X28" i="20"/>
  <c r="W23" i="27"/>
  <c r="X50" i="9"/>
  <c r="X28" i="21"/>
  <c r="X50" i="21"/>
  <c r="X27" i="21"/>
  <c r="X23" i="23"/>
  <c r="X25" i="23"/>
  <c r="W49" i="29"/>
  <c r="X42" i="19"/>
  <c r="W30" i="24"/>
  <c r="W51" i="24"/>
  <c r="W50" i="24"/>
  <c r="W41" i="28"/>
  <c r="W21" i="28"/>
  <c r="W15" i="26"/>
  <c r="W34" i="26"/>
  <c r="W28" i="26"/>
  <c r="X16" i="20"/>
  <c r="X15" i="20"/>
  <c r="X37" i="20"/>
  <c r="W43" i="27"/>
  <c r="W34" i="27"/>
  <c r="W32" i="27"/>
  <c r="W52" i="27"/>
  <c r="X30" i="9"/>
  <c r="X25" i="9"/>
  <c r="X47" i="9"/>
  <c r="X16" i="21"/>
  <c r="X25" i="21"/>
  <c r="X37" i="21"/>
  <c r="X18" i="23"/>
  <c r="X54" i="23"/>
  <c r="X24" i="23"/>
  <c r="X39" i="22"/>
  <c r="X43" i="19"/>
  <c r="W34" i="24"/>
  <c r="W22" i="28"/>
  <c r="W39" i="26"/>
  <c r="W41" i="26"/>
  <c r="W22" i="27"/>
  <c r="X54" i="9"/>
  <c r="X26" i="23"/>
  <c r="W34" i="29"/>
  <c r="X28" i="22"/>
  <c r="W31" i="25"/>
  <c r="X34" i="19"/>
  <c r="W49" i="24"/>
  <c r="W24" i="28"/>
  <c r="W37" i="28"/>
  <c r="X43" i="9"/>
  <c r="X22" i="21"/>
  <c r="W40" i="29"/>
  <c r="X21" i="22"/>
  <c r="W17" i="25"/>
  <c r="W16" i="24"/>
  <c r="W38" i="26"/>
  <c r="W21" i="29"/>
  <c r="X50" i="22"/>
  <c r="X18" i="22"/>
  <c r="X53" i="22"/>
  <c r="W34" i="25"/>
  <c r="W44" i="25"/>
  <c r="X52" i="19"/>
  <c r="W36" i="24"/>
  <c r="W30" i="28"/>
  <c r="W53" i="29"/>
  <c r="W23" i="29"/>
  <c r="W17" i="29"/>
  <c r="X25" i="22"/>
  <c r="X48" i="22"/>
  <c r="X27" i="22"/>
  <c r="W40" i="25"/>
  <c r="W53" i="25"/>
  <c r="W41" i="25"/>
  <c r="W51" i="25"/>
  <c r="X25" i="19"/>
  <c r="X39" i="19"/>
  <c r="X53" i="19"/>
  <c r="W47" i="24"/>
  <c r="W25" i="24"/>
  <c r="W48" i="24"/>
  <c r="W26" i="24"/>
  <c r="W27" i="28"/>
  <c r="W31" i="28"/>
  <c r="W40" i="28"/>
  <c r="W29" i="26"/>
  <c r="W47" i="26"/>
  <c r="W37" i="26"/>
  <c r="W22" i="26"/>
  <c r="X51" i="20"/>
  <c r="X33" i="20"/>
  <c r="X18" i="20"/>
  <c r="W37" i="27"/>
  <c r="W54" i="27"/>
  <c r="W28" i="27"/>
  <c r="X18" i="9"/>
  <c r="X23" i="9"/>
  <c r="X46" i="9"/>
  <c r="X24" i="21"/>
  <c r="X35" i="21"/>
  <c r="X42" i="21"/>
  <c r="X41" i="21"/>
  <c r="X30" i="23"/>
  <c r="X31" i="23"/>
  <c r="X53" i="23"/>
  <c r="W45" i="29"/>
  <c r="X30" i="20"/>
  <c r="X28" i="9"/>
  <c r="X17" i="21"/>
  <c r="X32" i="23"/>
  <c r="W20" i="29"/>
  <c r="X32" i="22"/>
  <c r="X36" i="19"/>
  <c r="W49" i="26"/>
  <c r="X31" i="20"/>
  <c r="W21" i="27"/>
  <c r="X40" i="21"/>
  <c r="X27" i="23"/>
  <c r="W54" i="29"/>
  <c r="X29" i="19"/>
  <c r="W21" i="26"/>
  <c r="X22" i="20"/>
  <c r="W36" i="27"/>
  <c r="W25" i="27"/>
  <c r="X48" i="9"/>
  <c r="X22" i="9"/>
  <c r="W44" i="29"/>
  <c r="W51" i="29"/>
  <c r="W33" i="25"/>
  <c r="X45" i="19"/>
  <c r="W46" i="26"/>
  <c r="W46" i="29"/>
  <c r="W42" i="29"/>
  <c r="W37" i="29"/>
  <c r="W52" i="29"/>
  <c r="W43" i="29"/>
  <c r="X54" i="22"/>
  <c r="X26" i="22"/>
  <c r="X46" i="22"/>
  <c r="W49" i="25"/>
  <c r="W23" i="25"/>
  <c r="W28" i="25"/>
  <c r="W43" i="25"/>
  <c r="X32" i="19"/>
  <c r="X54" i="19"/>
  <c r="X30" i="19"/>
  <c r="W41" i="24"/>
  <c r="W28" i="24"/>
  <c r="W42" i="24"/>
  <c r="W35" i="24"/>
  <c r="W38" i="28"/>
  <c r="W36" i="28"/>
  <c r="W20" i="26"/>
  <c r="W45" i="26"/>
  <c r="W44" i="26"/>
  <c r="W25" i="26"/>
  <c r="X26" i="20"/>
  <c r="X24" i="20"/>
  <c r="W38" i="27"/>
  <c r="W31" i="27"/>
  <c r="W50" i="27"/>
  <c r="W26" i="27"/>
  <c r="X53" i="9"/>
  <c r="X37" i="9"/>
  <c r="X49" i="9"/>
  <c r="X48" i="21"/>
  <c r="X29" i="21"/>
  <c r="X18" i="21"/>
  <c r="X43" i="21"/>
  <c r="X35" i="23"/>
  <c r="X15" i="23"/>
  <c r="X28" i="23"/>
  <c r="W26" i="28"/>
  <c r="W54" i="26"/>
  <c r="X19" i="20"/>
  <c r="X54" i="20"/>
  <c r="W40" i="27"/>
  <c r="X24" i="9"/>
  <c r="X32" i="21"/>
  <c r="X47" i="21"/>
  <c r="X30" i="21"/>
  <c r="X51" i="23"/>
  <c r="W25" i="29"/>
  <c r="W29" i="29"/>
  <c r="W22" i="29"/>
  <c r="X44" i="22"/>
  <c r="X45" i="22"/>
  <c r="X23" i="22"/>
  <c r="W42" i="25"/>
  <c r="W22" i="25"/>
  <c r="W52" i="25"/>
  <c r="X28" i="19"/>
  <c r="X49" i="19"/>
  <c r="X21" i="19"/>
  <c r="X48" i="19"/>
  <c r="W52" i="24"/>
  <c r="W46" i="24"/>
  <c r="W54" i="24"/>
  <c r="W50" i="28"/>
  <c r="W29" i="28"/>
  <c r="W54" i="28"/>
  <c r="W33" i="28"/>
  <c r="W32" i="26"/>
  <c r="W51" i="26"/>
  <c r="W27" i="26"/>
  <c r="X21" i="20"/>
  <c r="X23" i="20"/>
  <c r="X43" i="20"/>
  <c r="X45" i="20"/>
  <c r="W16" i="27"/>
  <c r="W44" i="27"/>
  <c r="W29" i="27"/>
  <c r="X34" i="9"/>
  <c r="X26" i="9"/>
  <c r="X33" i="9"/>
  <c r="X52" i="9"/>
  <c r="X45" i="21"/>
  <c r="X52" i="21"/>
  <c r="X46" i="21"/>
  <c r="X36" i="23"/>
  <c r="X42" i="23"/>
  <c r="X45" i="23"/>
  <c r="X47" i="23"/>
  <c r="W30" i="29"/>
  <c r="X30" i="22"/>
  <c r="W43" i="26"/>
  <c r="X52" i="23"/>
  <c r="X43" i="22"/>
  <c r="X44" i="19"/>
  <c r="X22" i="19"/>
  <c r="X15" i="19"/>
  <c r="W20" i="24"/>
  <c r="W32" i="24"/>
  <c r="W15" i="24"/>
  <c r="W48" i="28"/>
  <c r="W49" i="28"/>
  <c r="W16" i="28"/>
  <c r="W15" i="28"/>
  <c r="W24" i="26"/>
  <c r="W40" i="26"/>
  <c r="X52" i="20"/>
  <c r="X41" i="20"/>
  <c r="X32" i="20"/>
  <c r="X35" i="20"/>
  <c r="W30" i="27"/>
  <c r="W35" i="27"/>
  <c r="W51" i="27"/>
  <c r="X32" i="9"/>
  <c r="X31" i="9"/>
  <c r="X42" i="9"/>
  <c r="X17" i="9"/>
  <c r="X19" i="21"/>
  <c r="X36" i="21"/>
  <c r="X33" i="21"/>
  <c r="X46" i="23"/>
  <c r="X33" i="23"/>
  <c r="X38" i="23"/>
  <c r="X17" i="23"/>
  <c r="W19" i="29"/>
  <c r="X20" i="19"/>
  <c r="W44" i="24"/>
  <c r="W53" i="28"/>
  <c r="W23" i="26"/>
  <c r="W47" i="27"/>
  <c r="X38" i="21"/>
  <c r="W27" i="29"/>
  <c r="X35" i="22"/>
  <c r="W24" i="25"/>
  <c r="W20" i="25"/>
  <c r="X16" i="19"/>
  <c r="W47" i="28"/>
  <c r="W52" i="26"/>
  <c r="W17" i="26"/>
  <c r="W48" i="27"/>
  <c r="W45" i="27"/>
  <c r="W33" i="27"/>
  <c r="X39" i="9"/>
  <c r="X43" i="23"/>
  <c r="X37" i="22"/>
  <c r="W47" i="25"/>
  <c r="W19" i="25"/>
  <c r="W36" i="25"/>
  <c r="W15" i="29"/>
  <c r="W38" i="29"/>
  <c r="W47" i="29"/>
  <c r="X22" i="22"/>
  <c r="X20" i="22"/>
  <c r="X15" i="22"/>
  <c r="X33" i="22"/>
  <c r="W32" i="25"/>
  <c r="W54" i="25"/>
  <c r="W48" i="25"/>
  <c r="X18" i="19"/>
  <c r="X23" i="19"/>
  <c r="X38" i="19"/>
  <c r="W37" i="24"/>
  <c r="W27" i="24"/>
  <c r="W43" i="24"/>
  <c r="W20" i="28"/>
  <c r="W18" i="28"/>
  <c r="W51" i="28"/>
  <c r="W35" i="28"/>
  <c r="W50" i="26"/>
  <c r="W18" i="26"/>
  <c r="W53" i="26"/>
  <c r="X36" i="20"/>
  <c r="X27" i="20"/>
  <c r="X39" i="20"/>
  <c r="X25" i="20"/>
  <c r="W15" i="27"/>
  <c r="W19" i="27"/>
  <c r="W17" i="27"/>
  <c r="X27" i="9"/>
  <c r="X35" i="9"/>
  <c r="X20" i="9"/>
  <c r="X23" i="21"/>
  <c r="X49" i="21"/>
  <c r="X53" i="21"/>
  <c r="X48" i="23"/>
  <c r="X20" i="23"/>
  <c r="X49" i="23"/>
  <c r="X39" i="23"/>
  <c r="W26" i="25"/>
  <c r="X35" i="19"/>
  <c r="W40" i="24"/>
  <c r="W22" i="24"/>
  <c r="X29" i="9"/>
  <c r="W31" i="29"/>
  <c r="W41" i="29"/>
  <c r="X19" i="22"/>
  <c r="W35" i="29"/>
  <c r="X38" i="22"/>
  <c r="X19" i="19"/>
  <c r="W21" i="24"/>
  <c r="W34" i="28"/>
  <c r="W28" i="28"/>
  <c r="W32" i="28"/>
  <c r="W36" i="26"/>
  <c r="W35" i="26"/>
  <c r="X34" i="20"/>
  <c r="X44" i="20"/>
  <c r="X53" i="20"/>
  <c r="X47" i="20"/>
  <c r="W18" i="27"/>
  <c r="W46" i="27"/>
  <c r="W42" i="27"/>
  <c r="X45" i="9"/>
  <c r="X21" i="9"/>
  <c r="X16" i="9"/>
  <c r="X44" i="9"/>
  <c r="X34" i="21"/>
  <c r="X20" i="21"/>
  <c r="X21" i="21"/>
  <c r="X19" i="23"/>
  <c r="X22" i="23"/>
  <c r="X41" i="23"/>
  <c r="X29" i="23"/>
  <c r="W48" i="29"/>
  <c r="X41" i="22"/>
  <c r="W45" i="25"/>
  <c r="W33" i="24"/>
  <c r="W31" i="26"/>
  <c r="X15" i="21"/>
  <c r="W32" i="29"/>
  <c r="W33" i="29"/>
  <c r="X40" i="22"/>
  <c r="W50" i="25"/>
  <c r="X47" i="19"/>
  <c r="W18" i="24"/>
  <c r="W46" i="28"/>
  <c r="W36" i="29"/>
  <c r="X29" i="22"/>
  <c r="W28" i="29"/>
  <c r="X49" i="22"/>
  <c r="X36" i="22"/>
  <c r="X42" i="22"/>
  <c r="W25" i="25"/>
  <c r="W27" i="25"/>
  <c r="X37" i="19"/>
  <c r="X26" i="19"/>
  <c r="X17" i="19"/>
  <c r="W17" i="24"/>
  <c r="W26" i="29"/>
  <c r="W50" i="29"/>
  <c r="X17" i="22"/>
  <c r="X24" i="22"/>
  <c r="X52" i="22"/>
  <c r="X31" i="22"/>
  <c r="W46" i="25"/>
  <c r="W30" i="25"/>
  <c r="W39" i="25"/>
  <c r="X31" i="19"/>
  <c r="X50" i="19"/>
  <c r="X41" i="19"/>
  <c r="X51" i="19"/>
  <c r="W24" i="24"/>
  <c r="W45" i="24"/>
  <c r="W19" i="24"/>
  <c r="W45" i="28"/>
  <c r="W39" i="28"/>
  <c r="W17" i="28"/>
  <c r="W43" i="28"/>
  <c r="W26" i="26"/>
  <c r="W42" i="26"/>
  <c r="W33" i="26"/>
  <c r="X50" i="20"/>
  <c r="X42" i="20"/>
  <c r="X29" i="20"/>
  <c r="X40" i="20"/>
  <c r="W41" i="27"/>
  <c r="W24" i="27"/>
  <c r="W49" i="27"/>
  <c r="X36" i="9"/>
  <c r="X19" i="9"/>
  <c r="X41" i="9"/>
  <c r="X40" i="9"/>
  <c r="X54" i="21"/>
  <c r="X39" i="21"/>
  <c r="X31" i="21"/>
  <c r="X37" i="23"/>
  <c r="X21" i="23"/>
  <c r="X16" i="23"/>
  <c r="Z11" i="22"/>
  <c r="Y12" i="22"/>
  <c r="Z11" i="23"/>
  <c r="Y12" i="23"/>
  <c r="Y11" i="28"/>
  <c r="X12" i="28"/>
  <c r="X12" i="27"/>
  <c r="Y11" i="27"/>
  <c r="Y12" i="9"/>
  <c r="Z11" i="9"/>
  <c r="Z11" i="20"/>
  <c r="Y12" i="20"/>
  <c r="Y12" i="19"/>
  <c r="Z11" i="19"/>
  <c r="Z11" i="21"/>
  <c r="Y12" i="21"/>
  <c r="X12" i="29"/>
  <c r="Y11" i="29"/>
  <c r="X12" i="25"/>
  <c r="Y11" i="25"/>
  <c r="X12" i="24"/>
  <c r="Y11" i="24"/>
  <c r="X12" i="26"/>
  <c r="Y11" i="26"/>
  <c r="Y21" i="22" a="1"/>
  <c r="Y42" i="22" a="1"/>
  <c r="Y43" i="22" a="1"/>
  <c r="Y46" i="22" a="1"/>
  <c r="Y26" i="23" a="1"/>
  <c r="Y24" i="23" a="1"/>
  <c r="Y44" i="23" a="1"/>
  <c r="X27" i="28" a="1"/>
  <c r="X34" i="28" a="1"/>
  <c r="X26" i="28" a="1"/>
  <c r="X20" i="28" a="1"/>
  <c r="X32" i="27" a="1"/>
  <c r="X50" i="27" a="1"/>
  <c r="X18" i="27" a="1"/>
  <c r="Y45" i="9" a="1"/>
  <c r="Y20" i="9" a="1"/>
  <c r="Y38" i="9" a="1"/>
  <c r="Y40" i="9" a="1"/>
  <c r="Y22" i="20" a="1"/>
  <c r="Y26" i="20" a="1"/>
  <c r="Y48" i="20" a="1"/>
  <c r="Y47" i="19" a="1"/>
  <c r="Y17" i="19" a="1"/>
  <c r="Y26" i="19" a="1"/>
  <c r="Y33" i="19" a="1"/>
  <c r="Y39" i="21" a="1"/>
  <c r="Y23" i="21" a="1"/>
  <c r="Y15" i="21" a="1"/>
  <c r="X16" i="29" a="1"/>
  <c r="X34" i="29" a="1"/>
  <c r="X50" i="29" a="1"/>
  <c r="X53" i="29" a="1"/>
  <c r="X44" i="25" a="1"/>
  <c r="X19" i="25" a="1"/>
  <c r="X23" i="25" a="1"/>
  <c r="X46" i="24" a="1"/>
  <c r="X33" i="24" a="1"/>
  <c r="X50" i="24" a="1"/>
  <c r="X23" i="24" a="1"/>
  <c r="X30" i="26" a="1"/>
  <c r="X33" i="26" a="1"/>
  <c r="X25" i="26" a="1"/>
  <c r="X22" i="28" a="1"/>
  <c r="X27" i="27" a="1"/>
  <c r="Y22" i="9" a="1"/>
  <c r="Y31" i="9" a="1"/>
  <c r="Y31" i="20" a="1"/>
  <c r="X51" i="25" a="1"/>
  <c r="X36" i="24" a="1"/>
  <c r="X48" i="24" a="1"/>
  <c r="X26" i="26" a="1"/>
  <c r="Y54" i="22" a="1"/>
  <c r="X35" i="28" a="1"/>
  <c r="X25" i="27" a="1"/>
  <c r="Y18" i="20" a="1"/>
  <c r="Y52" i="21" a="1"/>
  <c r="Y54" i="21" a="1"/>
  <c r="X52" i="29" a="1"/>
  <c r="X21" i="29" a="1"/>
  <c r="X46" i="29" a="1"/>
  <c r="X27" i="25" a="1"/>
  <c r="X51" i="28" a="1"/>
  <c r="Y21" i="9" a="1"/>
  <c r="Y46" i="20" a="1"/>
  <c r="X35" i="29" a="1"/>
  <c r="X29" i="26" a="1"/>
  <c r="Y20" i="22" a="1"/>
  <c r="Y32" i="22" a="1"/>
  <c r="Y39" i="22" a="1"/>
  <c r="Y29" i="22" a="1"/>
  <c r="Y41" i="23" a="1"/>
  <c r="Y33" i="23" a="1"/>
  <c r="Y21" i="23" a="1"/>
  <c r="X53" i="28" a="1"/>
  <c r="X37" i="28" a="1"/>
  <c r="X18" i="28" a="1"/>
  <c r="X48" i="27" a="1"/>
  <c r="X45" i="27" a="1"/>
  <c r="Y32" i="9" a="1"/>
  <c r="Y19" i="9" a="1"/>
  <c r="Y20" i="20" a="1"/>
  <c r="Y19" i="20" a="1"/>
  <c r="Y41" i="19" a="1"/>
  <c r="Y18" i="19" a="1"/>
  <c r="Y27" i="19" a="1"/>
  <c r="Y44" i="19" a="1"/>
  <c r="Y47" i="21" a="1"/>
  <c r="Y51" i="21" a="1"/>
  <c r="Y16" i="21" a="1"/>
  <c r="X19" i="29" a="1"/>
  <c r="X43" i="29" a="1"/>
  <c r="X44" i="29" a="1"/>
  <c r="X43" i="25" a="1"/>
  <c r="X54" i="25" a="1"/>
  <c r="X27" i="24" a="1"/>
  <c r="X44" i="24" a="1"/>
  <c r="X39" i="26" a="1"/>
  <c r="Y31" i="22" a="1"/>
  <c r="Y20" i="23" a="1"/>
  <c r="X29" i="28" a="1"/>
  <c r="Y40" i="22" a="1"/>
  <c r="Y52" i="22" a="1"/>
  <c r="Y16" i="23" a="1"/>
  <c r="X32" i="28" a="1"/>
  <c r="X16" i="28" a="1"/>
  <c r="X41" i="27" a="1"/>
  <c r="X53" i="27" a="1"/>
  <c r="Y26" i="9" a="1"/>
  <c r="Y48" i="9" a="1"/>
  <c r="Y29" i="9" a="1"/>
  <c r="Y51" i="9" a="1"/>
  <c r="Y43" i="20" a="1"/>
  <c r="Y50" i="20" a="1"/>
  <c r="Y40" i="19" a="1"/>
  <c r="Y22" i="19" a="1"/>
  <c r="Y35" i="19" a="1"/>
  <c r="Y22" i="21" a="1"/>
  <c r="X20" i="29" a="1"/>
  <c r="X26" i="25" a="1"/>
  <c r="X42" i="25" a="1"/>
  <c r="X22" i="24" a="1"/>
  <c r="X31" i="24" a="1"/>
  <c r="X54" i="24" a="1"/>
  <c r="X42" i="24" a="1"/>
  <c r="X35" i="26" a="1"/>
  <c r="X54" i="26" a="1"/>
  <c r="X42" i="26" a="1"/>
  <c r="Y37" i="22" a="1"/>
  <c r="Y37" i="23" a="1"/>
  <c r="Y42" i="23" a="1"/>
  <c r="X39" i="28" a="1"/>
  <c r="Y29" i="20" a="1"/>
  <c r="Y25" i="21" a="1"/>
  <c r="X15" i="25" a="1"/>
  <c r="X34" i="26" a="1"/>
  <c r="Y23" i="22" a="1"/>
  <c r="Y45" i="22" a="1"/>
  <c r="Y38" i="22" a="1"/>
  <c r="Y28" i="22" a="1"/>
  <c r="Y46" i="23" a="1"/>
  <c r="Y47" i="23" a="1"/>
  <c r="Y22" i="23" a="1"/>
  <c r="X28" i="28" a="1"/>
  <c r="X46" i="28" a="1"/>
  <c r="X42" i="28" a="1"/>
  <c r="X30" i="28" a="1"/>
  <c r="X43" i="27" a="1"/>
  <c r="X47" i="27" a="1"/>
  <c r="X42" i="27" a="1"/>
  <c r="Y47" i="9" a="1"/>
  <c r="Y42" i="9" a="1"/>
  <c r="Y41" i="9" a="1"/>
  <c r="Y17" i="20" a="1"/>
  <c r="Y44" i="20" a="1"/>
  <c r="Y53" i="20" a="1"/>
  <c r="Y32" i="19" a="1"/>
  <c r="Y43" i="19" a="1"/>
  <c r="Y15" i="19" a="1"/>
  <c r="Y51" i="19" a="1"/>
  <c r="Y31" i="21" a="1"/>
  <c r="Y43" i="21" a="1"/>
  <c r="Y49" i="21" a="1"/>
  <c r="X29" i="29" a="1"/>
  <c r="X27" i="29" a="1"/>
  <c r="X24" i="29" a="1"/>
  <c r="X28" i="25" a="1"/>
  <c r="X48" i="25" a="1"/>
  <c r="X41" i="25" a="1"/>
  <c r="X51" i="24" a="1"/>
  <c r="X37" i="24" a="1"/>
  <c r="X24" i="24" a="1"/>
  <c r="X34" i="24" a="1"/>
  <c r="X50" i="26" a="1"/>
  <c r="X31" i="26" a="1"/>
  <c r="X46" i="26" a="1"/>
  <c r="Y52" i="19" a="1"/>
  <c r="Y40" i="21" a="1"/>
  <c r="Y42" i="20" a="1"/>
  <c r="Y21" i="19" a="1"/>
  <c r="Y34" i="21" a="1"/>
  <c r="Y37" i="21" a="1"/>
  <c r="X51" i="29" a="1"/>
  <c r="X30" i="25" a="1"/>
  <c r="X29" i="24" a="1"/>
  <c r="X15" i="26" a="1"/>
  <c r="Y19" i="22" a="1"/>
  <c r="Y49" i="23" a="1"/>
  <c r="X24" i="28" a="1"/>
  <c r="X15" i="27" a="1"/>
  <c r="Y15" i="22" a="1"/>
  <c r="Y34" i="22" a="1"/>
  <c r="Y17" i="22" a="1"/>
  <c r="Y47" i="22" a="1"/>
  <c r="Y52" i="23" a="1"/>
  <c r="Y23" i="23" a="1"/>
  <c r="Y50" i="23" a="1"/>
  <c r="X54" i="28" a="1"/>
  <c r="X15" i="28" a="1"/>
  <c r="X17" i="28" a="1"/>
  <c r="X41" i="28" a="1"/>
  <c r="X33" i="27" a="1"/>
  <c r="X31" i="27" a="1"/>
  <c r="X46" i="27" a="1"/>
  <c r="Y27" i="9" a="1"/>
  <c r="Y16" i="9" a="1"/>
  <c r="Y28" i="9" a="1"/>
  <c r="Y28" i="20" a="1"/>
  <c r="Y33" i="20" a="1"/>
  <c r="Y21" i="20" a="1"/>
  <c r="Y50" i="19" a="1"/>
  <c r="Y29" i="19" a="1"/>
  <c r="Y53" i="19" a="1"/>
  <c r="Y45" i="21" a="1"/>
  <c r="Y33" i="21" a="1"/>
  <c r="X39" i="29" a="1"/>
  <c r="X25" i="29" a="1"/>
  <c r="X38" i="29" a="1"/>
  <c r="X15" i="29" a="1"/>
  <c r="X22" i="25" a="1"/>
  <c r="X32" i="25" a="1"/>
  <c r="X40" i="24" a="1"/>
  <c r="X18" i="24" a="1"/>
  <c r="X15" i="24" a="1"/>
  <c r="X18" i="26" a="1"/>
  <c r="X41" i="26" a="1"/>
  <c r="X17" i="26" a="1"/>
  <c r="Y49" i="9" a="1"/>
  <c r="Y20" i="19" a="1"/>
  <c r="X40" i="29" a="1"/>
  <c r="X32" i="29" a="1"/>
  <c r="X25" i="25" a="1"/>
  <c r="X20" i="25" a="1"/>
  <c r="X39" i="24" a="1"/>
  <c r="X16" i="26" a="1"/>
  <c r="X54" i="27" a="1"/>
  <c r="Y37" i="9" a="1"/>
  <c r="Y37" i="20" a="1"/>
  <c r="Y36" i="19" a="1"/>
  <c r="X48" i="29" a="1"/>
  <c r="X35" i="25" a="1"/>
  <c r="X47" i="25" a="1"/>
  <c r="X17" i="24" a="1"/>
  <c r="Y22" i="22" a="1"/>
  <c r="Y51" i="22" a="1"/>
  <c r="Y39" i="23" a="1"/>
  <c r="Y28" i="23" a="1"/>
  <c r="Y53" i="23" a="1"/>
  <c r="Y40" i="23" a="1"/>
  <c r="X50" i="28" a="1"/>
  <c r="X49" i="28" a="1"/>
  <c r="X43" i="28" a="1"/>
  <c r="X37" i="27" a="1"/>
  <c r="X44" i="27" a="1"/>
  <c r="X17" i="27" a="1"/>
  <c r="X49" i="27" a="1"/>
  <c r="Y24" i="9" a="1"/>
  <c r="Y25" i="9" a="1"/>
  <c r="Y36" i="9" a="1"/>
  <c r="Y39" i="20" a="1"/>
  <c r="Y36" i="20" a="1"/>
  <c r="Y51" i="20" a="1"/>
  <c r="Y34" i="20" a="1"/>
  <c r="Y54" i="19" a="1"/>
  <c r="Y16" i="19" a="1"/>
  <c r="Y46" i="19" a="1"/>
  <c r="Y17" i="21" a="1"/>
  <c r="Y50" i="21" a="1"/>
  <c r="Y18" i="21" a="1"/>
  <c r="Y53" i="21" a="1"/>
  <c r="X23" i="29" a="1"/>
  <c r="X33" i="29" a="1"/>
  <c r="X28" i="29" a="1"/>
  <c r="X40" i="25" a="1"/>
  <c r="X36" i="25" a="1"/>
  <c r="X16" i="25" a="1"/>
  <c r="X33" i="25" a="1"/>
  <c r="X30" i="24" a="1"/>
  <c r="X25" i="24" a="1"/>
  <c r="X52" i="24" a="1"/>
  <c r="X49" i="26" a="1"/>
  <c r="X36" i="26" a="1"/>
  <c r="X24" i="26" a="1"/>
  <c r="X52" i="26" a="1"/>
  <c r="Y45" i="23" a="1"/>
  <c r="Y17" i="23" a="1"/>
  <c r="Y29" i="23" a="1"/>
  <c r="X33" i="28" a="1"/>
  <c r="X25" i="28" a="1"/>
  <c r="X19" i="28" a="1"/>
  <c r="X35" i="27" a="1"/>
  <c r="X20" i="27" a="1"/>
  <c r="X39" i="27" a="1"/>
  <c r="X19" i="27" a="1"/>
  <c r="Y43" i="9" a="1"/>
  <c r="Y33" i="9" a="1"/>
  <c r="Y52" i="20" a="1"/>
  <c r="Y45" i="20" a="1"/>
  <c r="Y38" i="19" a="1"/>
  <c r="Y26" i="21" a="1"/>
  <c r="X38" i="25" a="1"/>
  <c r="X26" i="24" a="1"/>
  <c r="X51" i="26" a="1"/>
  <c r="X27" i="26" a="1"/>
  <c r="Y16" i="22" a="1"/>
  <c r="X16" i="27" a="1"/>
  <c r="Y52" i="9" a="1"/>
  <c r="Y47" i="20" a="1"/>
  <c r="Y19" i="19" a="1"/>
  <c r="Y39" i="19" a="1"/>
  <c r="Y32" i="21" a="1"/>
  <c r="Y20" i="21" a="1"/>
  <c r="Y19" i="21" a="1"/>
  <c r="X49" i="29" a="1"/>
  <c r="X18" i="25" a="1"/>
  <c r="X45" i="24" a="1"/>
  <c r="Y26" i="22" a="1"/>
  <c r="Y27" i="22" a="1"/>
  <c r="Y24" i="22" a="1"/>
  <c r="Y43" i="23" a="1"/>
  <c r="Y35" i="22" a="1"/>
  <c r="Y48" i="22" a="1"/>
  <c r="Y41" i="22" a="1"/>
  <c r="Y30" i="23" a="1"/>
  <c r="Y35" i="23" a="1"/>
  <c r="Y32" i="23" a="1"/>
  <c r="Y31" i="23" a="1"/>
  <c r="X47" i="28" a="1"/>
  <c r="X21" i="28" a="1"/>
  <c r="X36" i="28" a="1"/>
  <c r="X51" i="27" a="1"/>
  <c r="X23" i="27" a="1"/>
  <c r="X38" i="27" a="1"/>
  <c r="X34" i="27" a="1"/>
  <c r="Y18" i="9" a="1"/>
  <c r="Y46" i="9" a="1"/>
  <c r="Y35" i="9" a="1"/>
  <c r="Y41" i="20" a="1"/>
  <c r="Y49" i="20" a="1"/>
  <c r="Y35" i="20" a="1"/>
  <c r="Y32" i="20" a="1"/>
  <c r="Y42" i="19" a="1"/>
  <c r="Y31" i="19" a="1"/>
  <c r="Y37" i="19" a="1"/>
  <c r="Y35" i="21" a="1"/>
  <c r="Y41" i="21" a="1"/>
  <c r="Y24" i="21" a="1"/>
  <c r="Y46" i="21" a="1"/>
  <c r="X37" i="29" a="1"/>
  <c r="X42" i="29" a="1"/>
  <c r="X41" i="29" a="1"/>
  <c r="X39" i="25" a="1"/>
  <c r="X29" i="25" a="1"/>
  <c r="X50" i="25" a="1"/>
  <c r="X45" i="25" a="1"/>
  <c r="X21" i="24" a="1"/>
  <c r="X16" i="24" a="1"/>
  <c r="X35" i="24" a="1"/>
  <c r="X40" i="26" a="1"/>
  <c r="X28" i="26" a="1"/>
  <c r="X44" i="26" a="1"/>
  <c r="Y18" i="22" a="1"/>
  <c r="Y44" i="22" a="1"/>
  <c r="Y48" i="23" a="1"/>
  <c r="Y38" i="23" a="1"/>
  <c r="Y27" i="23" a="1"/>
  <c r="Y19" i="23" a="1"/>
  <c r="X40" i="28" a="1"/>
  <c r="X31" i="28" a="1"/>
  <c r="X40" i="27" a="1"/>
  <c r="X26" i="27" a="1"/>
  <c r="X29" i="27" a="1"/>
  <c r="X28" i="27" a="1"/>
  <c r="Y30" i="9" a="1"/>
  <c r="Y54" i="9" a="1"/>
  <c r="Y44" i="9" a="1"/>
  <c r="Y54" i="20" a="1"/>
  <c r="Y15" i="20" a="1"/>
  <c r="Y25" i="20" a="1"/>
  <c r="Y49" i="19" a="1"/>
  <c r="Y23" i="19" a="1"/>
  <c r="Y30" i="19" a="1"/>
  <c r="Y48" i="21" a="1"/>
  <c r="Y36" i="21" a="1"/>
  <c r="Y29" i="21" a="1"/>
  <c r="Y42" i="21" a="1"/>
  <c r="X31" i="29" a="1"/>
  <c r="X26" i="29" a="1"/>
  <c r="X45" i="29" a="1"/>
  <c r="X53" i="25" a="1"/>
  <c r="X52" i="25" a="1"/>
  <c r="X21" i="25" a="1"/>
  <c r="X49" i="25" a="1"/>
  <c r="X43" i="24" a="1"/>
  <c r="X32" i="24" a="1"/>
  <c r="X20" i="24" a="1"/>
  <c r="X20" i="26" a="1"/>
  <c r="X21" i="26" a="1"/>
  <c r="X19" i="26" a="1"/>
  <c r="X53" i="26" a="1"/>
  <c r="Y16" i="20" a="1"/>
  <c r="Y45" i="19" a="1"/>
  <c r="X17" i="29" a="1"/>
  <c r="X24" i="25" a="1"/>
  <c r="X31" i="25" a="1"/>
  <c r="X53" i="24" a="1"/>
  <c r="X19" i="24" a="1"/>
  <c r="X37" i="26" a="1"/>
  <c r="X47" i="26" a="1"/>
  <c r="X23" i="26" a="1"/>
  <c r="X22" i="26" a="1"/>
  <c r="Y33" i="22" a="1"/>
  <c r="Y25" i="23" a="1"/>
  <c r="Y15" i="9" a="1"/>
  <c r="Y17" i="9" a="1"/>
  <c r="Y50" i="9" a="1"/>
  <c r="Y24" i="20" a="1"/>
  <c r="Y23" i="20" a="1"/>
  <c r="Y25" i="19" a="1"/>
  <c r="Y44" i="21" a="1"/>
  <c r="Y28" i="21" a="1"/>
  <c r="X22" i="29" a="1"/>
  <c r="X48" i="26" a="1"/>
  <c r="X38" i="26" a="1"/>
  <c r="X45" i="26" a="1"/>
  <c r="Y25" i="22" a="1"/>
  <c r="Y50" i="22" a="1"/>
  <c r="Y30" i="22" a="1"/>
  <c r="Y34" i="23" a="1"/>
  <c r="Y54" i="23" a="1"/>
  <c r="Y18" i="23" a="1"/>
  <c r="Y51" i="23" a="1"/>
  <c r="X38" i="28" a="1"/>
  <c r="X52" i="28" a="1"/>
  <c r="X48" i="28" a="1"/>
  <c r="X21" i="27" a="1"/>
  <c r="X22" i="27" a="1"/>
  <c r="X52" i="27" a="1"/>
  <c r="X24" i="27" a="1"/>
  <c r="Y34" i="9" a="1"/>
  <c r="Y23" i="9" a="1"/>
  <c r="Y53" i="9" a="1"/>
  <c r="Y38" i="20" a="1"/>
  <c r="Y40" i="20" a="1"/>
  <c r="Y27" i="20" a="1"/>
  <c r="Y34" i="19" a="1"/>
  <c r="Y48" i="19" a="1"/>
  <c r="Y27" i="21" a="1"/>
  <c r="Y30" i="21" a="1"/>
  <c r="Y21" i="21" a="1"/>
  <c r="X54" i="29" a="1"/>
  <c r="X30" i="29" a="1"/>
  <c r="X37" i="25" a="1"/>
  <c r="X46" i="25" a="1"/>
  <c r="X38" i="24" a="1"/>
  <c r="Y49" i="22" a="1"/>
  <c r="Y36" i="22" a="1"/>
  <c r="Y53" i="22" a="1"/>
  <c r="Y36" i="23" a="1"/>
  <c r="Y15" i="23" a="1"/>
  <c r="X23" i="28" a="1"/>
  <c r="X44" i="28" a="1"/>
  <c r="X45" i="28" a="1"/>
  <c r="X30" i="27" a="1"/>
  <c r="X36" i="27" a="1"/>
  <c r="Y39" i="9" a="1"/>
  <c r="Y30" i="20" a="1"/>
  <c r="Y24" i="19" a="1"/>
  <c r="Y28" i="19" a="1"/>
  <c r="Y38" i="21" a="1"/>
  <c r="X47" i="29" a="1"/>
  <c r="X18" i="29" a="1"/>
  <c r="X36" i="29" a="1"/>
  <c r="X17" i="25" a="1"/>
  <c r="X34" i="25" a="1"/>
  <c r="X41" i="24" a="1"/>
  <c r="X28" i="24" a="1"/>
  <c r="X47" i="24" a="1"/>
  <c r="X43" i="26" a="1"/>
  <c r="X32" i="26" a="1"/>
  <c r="X49" i="24" a="1"/>
  <c r="X49" i="24" l="1"/>
  <c r="X32" i="26"/>
  <c r="X43" i="26"/>
  <c r="X47" i="24"/>
  <c r="X28" i="24"/>
  <c r="X41" i="24"/>
  <c r="X34" i="25"/>
  <c r="X17" i="25"/>
  <c r="X36" i="29"/>
  <c r="X18" i="29"/>
  <c r="X47" i="29"/>
  <c r="Y38" i="21"/>
  <c r="Y28" i="19"/>
  <c r="Y24" i="19"/>
  <c r="Y30" i="20"/>
  <c r="Y39" i="9"/>
  <c r="X36" i="27"/>
  <c r="X30" i="27"/>
  <c r="X45" i="28"/>
  <c r="X44" i="28"/>
  <c r="X23" i="28"/>
  <c r="Y15" i="23"/>
  <c r="Y36" i="23"/>
  <c r="Y53" i="22"/>
  <c r="Y36" i="22"/>
  <c r="Y49" i="22"/>
  <c r="X38" i="24"/>
  <c r="X46" i="25"/>
  <c r="X37" i="25"/>
  <c r="X30" i="29"/>
  <c r="X54" i="29"/>
  <c r="Y21" i="21"/>
  <c r="Y30" i="21"/>
  <c r="Y27" i="21"/>
  <c r="Y48" i="19"/>
  <c r="Y34" i="19"/>
  <c r="Y27" i="20"/>
  <c r="Y40" i="20"/>
  <c r="Y38" i="20"/>
  <c r="Y53" i="9"/>
  <c r="Y23" i="9"/>
  <c r="Y34" i="9"/>
  <c r="X24" i="27"/>
  <c r="X52" i="27"/>
  <c r="X22" i="27"/>
  <c r="X21" i="27"/>
  <c r="X48" i="28"/>
  <c r="X52" i="28"/>
  <c r="X38" i="28"/>
  <c r="Y51" i="23"/>
  <c r="Y18" i="23"/>
  <c r="Y54" i="23"/>
  <c r="Y34" i="23"/>
  <c r="Y30" i="22"/>
  <c r="Y50" i="22"/>
  <c r="Y25" i="22"/>
  <c r="X45" i="26"/>
  <c r="X38" i="26"/>
  <c r="X48" i="26"/>
  <c r="X22" i="29"/>
  <c r="Y28" i="21"/>
  <c r="Y44" i="21"/>
  <c r="Y25" i="19"/>
  <c r="Y23" i="20"/>
  <c r="Y24" i="20"/>
  <c r="Y50" i="9"/>
  <c r="Y17" i="9"/>
  <c r="Y15" i="9"/>
  <c r="Y25" i="23"/>
  <c r="Y33" i="22"/>
  <c r="X22" i="26"/>
  <c r="X23" i="26"/>
  <c r="X47" i="26"/>
  <c r="X37" i="26"/>
  <c r="X19" i="24"/>
  <c r="X53" i="24"/>
  <c r="X31" i="25"/>
  <c r="X24" i="25"/>
  <c r="X17" i="29"/>
  <c r="Y45" i="19"/>
  <c r="Y16" i="20"/>
  <c r="X53" i="26"/>
  <c r="X19" i="26"/>
  <c r="X21" i="26"/>
  <c r="X20" i="26"/>
  <c r="X20" i="24"/>
  <c r="X32" i="24"/>
  <c r="X43" i="24"/>
  <c r="X49" i="25"/>
  <c r="X21" i="25"/>
  <c r="X52" i="25"/>
  <c r="X53" i="25"/>
  <c r="X45" i="29"/>
  <c r="X26" i="29"/>
  <c r="X31" i="29"/>
  <c r="Y42" i="21"/>
  <c r="Y29" i="21"/>
  <c r="Y36" i="21"/>
  <c r="Y48" i="21"/>
  <c r="Y30" i="19"/>
  <c r="Y23" i="19"/>
  <c r="Y49" i="19"/>
  <c r="Y25" i="20"/>
  <c r="Y15" i="20"/>
  <c r="Y54" i="20"/>
  <c r="Y44" i="9"/>
  <c r="Y54" i="9"/>
  <c r="Y30" i="9"/>
  <c r="X28" i="27"/>
  <c r="X29" i="27"/>
  <c r="X26" i="27"/>
  <c r="X40" i="27"/>
  <c r="X31" i="28"/>
  <c r="X40" i="28"/>
  <c r="Y19" i="23"/>
  <c r="Y27" i="23"/>
  <c r="Y38" i="23"/>
  <c r="Y48" i="23"/>
  <c r="Y44" i="22"/>
  <c r="Y18" i="22"/>
  <c r="X44" i="26"/>
  <c r="X28" i="26"/>
  <c r="X40" i="26"/>
  <c r="X35" i="24"/>
  <c r="X16" i="24"/>
  <c r="X21" i="24"/>
  <c r="X45" i="25"/>
  <c r="X50" i="25"/>
  <c r="X29" i="25"/>
  <c r="X39" i="25"/>
  <c r="X41" i="29"/>
  <c r="X42" i="29"/>
  <c r="X37" i="29"/>
  <c r="Y46" i="21"/>
  <c r="Y24" i="21"/>
  <c r="Y41" i="21"/>
  <c r="Y35" i="21"/>
  <c r="Y37" i="19"/>
  <c r="Y31" i="19"/>
  <c r="Y42" i="19"/>
  <c r="Y32" i="20"/>
  <c r="Y35" i="20"/>
  <c r="Y49" i="20"/>
  <c r="Y41" i="20"/>
  <c r="Y35" i="9"/>
  <c r="Y46" i="9"/>
  <c r="Y18" i="9"/>
  <c r="X34" i="27"/>
  <c r="X38" i="27"/>
  <c r="X23" i="27"/>
  <c r="X51" i="27"/>
  <c r="X36" i="28"/>
  <c r="X21" i="28"/>
  <c r="X47" i="28"/>
  <c r="Y31" i="23"/>
  <c r="Y32" i="23"/>
  <c r="Y35" i="23"/>
  <c r="Y30" i="23"/>
  <c r="Y41" i="22"/>
  <c r="Y48" i="22"/>
  <c r="Y35" i="22"/>
  <c r="Y43" i="23"/>
  <c r="Y24" i="22"/>
  <c r="Y27" i="22"/>
  <c r="Y26" i="22"/>
  <c r="X45" i="24"/>
  <c r="X18" i="25"/>
  <c r="X49" i="29"/>
  <c r="Y19" i="21"/>
  <c r="Y20" i="21"/>
  <c r="Y32" i="21"/>
  <c r="Y39" i="19"/>
  <c r="Y19" i="19"/>
  <c r="Y47" i="20"/>
  <c r="Y52" i="9"/>
  <c r="X16" i="27"/>
  <c r="Y16" i="22"/>
  <c r="X27" i="26"/>
  <c r="X51" i="26"/>
  <c r="X26" i="24"/>
  <c r="X38" i="25"/>
  <c r="Y26" i="21"/>
  <c r="Y38" i="19"/>
  <c r="Y45" i="20"/>
  <c r="Y52" i="20"/>
  <c r="Y33" i="9"/>
  <c r="Y43" i="9"/>
  <c r="X19" i="27"/>
  <c r="X39" i="27"/>
  <c r="X20" i="27"/>
  <c r="X35" i="27"/>
  <c r="X19" i="28"/>
  <c r="X25" i="28"/>
  <c r="X33" i="28"/>
  <c r="Y29" i="23"/>
  <c r="Y17" i="23"/>
  <c r="Y45" i="23"/>
  <c r="X52" i="26"/>
  <c r="X24" i="26"/>
  <c r="X36" i="26"/>
  <c r="X49" i="26"/>
  <c r="X52" i="24"/>
  <c r="X25" i="24"/>
  <c r="X30" i="24"/>
  <c r="X33" i="25"/>
  <c r="X16" i="25"/>
  <c r="X36" i="25"/>
  <c r="X40" i="25"/>
  <c r="X28" i="29"/>
  <c r="X33" i="29"/>
  <c r="X23" i="29"/>
  <c r="Y53" i="21"/>
  <c r="Y18" i="21"/>
  <c r="Y50" i="21"/>
  <c r="Y17" i="21"/>
  <c r="Y46" i="19"/>
  <c r="Y16" i="19"/>
  <c r="Y54" i="19"/>
  <c r="Y34" i="20"/>
  <c r="Y51" i="20"/>
  <c r="Y36" i="20"/>
  <c r="Y39" i="20"/>
  <c r="Y36" i="9"/>
  <c r="Y25" i="9"/>
  <c r="Y24" i="9"/>
  <c r="X49" i="27"/>
  <c r="X17" i="27"/>
  <c r="X44" i="27"/>
  <c r="X37" i="27"/>
  <c r="X43" i="28"/>
  <c r="X49" i="28"/>
  <c r="X50" i="28"/>
  <c r="Y40" i="23"/>
  <c r="Y53" i="23"/>
  <c r="Y28" i="23"/>
  <c r="Y39" i="23"/>
  <c r="Y51" i="22"/>
  <c r="Y22" i="22"/>
  <c r="X17" i="24"/>
  <c r="X47" i="25"/>
  <c r="X35" i="25"/>
  <c r="X48" i="29"/>
  <c r="Y36" i="19"/>
  <c r="Y37" i="20"/>
  <c r="Y37" i="9"/>
  <c r="X54" i="27"/>
  <c r="X16" i="26"/>
  <c r="X39" i="24"/>
  <c r="X20" i="25"/>
  <c r="X25" i="25"/>
  <c r="X32" i="29"/>
  <c r="X40" i="29"/>
  <c r="Y20" i="19"/>
  <c r="Y49" i="9"/>
  <c r="X17" i="26"/>
  <c r="X41" i="26"/>
  <c r="X18" i="26"/>
  <c r="X15" i="24"/>
  <c r="X18" i="24"/>
  <c r="X40" i="24"/>
  <c r="X32" i="25"/>
  <c r="X22" i="25"/>
  <c r="X15" i="29"/>
  <c r="X38" i="29"/>
  <c r="X25" i="29"/>
  <c r="X39" i="29"/>
  <c r="Y33" i="21"/>
  <c r="Y45" i="21"/>
  <c r="Y53" i="19"/>
  <c r="Y29" i="19"/>
  <c r="Y50" i="19"/>
  <c r="Y21" i="20"/>
  <c r="Y33" i="20"/>
  <c r="Y28" i="20"/>
  <c r="Y28" i="9"/>
  <c r="Y16" i="9"/>
  <c r="Y27" i="9"/>
  <c r="X46" i="27"/>
  <c r="X31" i="27"/>
  <c r="X33" i="27"/>
  <c r="X41" i="28"/>
  <c r="X17" i="28"/>
  <c r="X15" i="28"/>
  <c r="X54" i="28"/>
  <c r="Y50" i="23"/>
  <c r="Y23" i="23"/>
  <c r="Y52" i="23"/>
  <c r="Y47" i="22"/>
  <c r="Y17" i="22"/>
  <c r="Y34" i="22"/>
  <c r="Y15" i="22"/>
  <c r="X15" i="27"/>
  <c r="X24" i="28"/>
  <c r="Y49" i="23"/>
  <c r="Y19" i="22"/>
  <c r="X15" i="26"/>
  <c r="X29" i="24"/>
  <c r="X30" i="25"/>
  <c r="X51" i="29"/>
  <c r="Y37" i="21"/>
  <c r="Y34" i="21"/>
  <c r="Y21" i="19"/>
  <c r="Y42" i="20"/>
  <c r="Y40" i="21"/>
  <c r="Y52" i="19"/>
  <c r="X46" i="26"/>
  <c r="X31" i="26"/>
  <c r="X50" i="26"/>
  <c r="X34" i="24"/>
  <c r="X24" i="24"/>
  <c r="X37" i="24"/>
  <c r="X51" i="24"/>
  <c r="X41" i="25"/>
  <c r="X48" i="25"/>
  <c r="X28" i="25"/>
  <c r="X24" i="29"/>
  <c r="X27" i="29"/>
  <c r="X29" i="29"/>
  <c r="Y49" i="21"/>
  <c r="Y43" i="21"/>
  <c r="Y31" i="21"/>
  <c r="Y51" i="19"/>
  <c r="Y15" i="19"/>
  <c r="Y43" i="19"/>
  <c r="Y32" i="19"/>
  <c r="Y53" i="20"/>
  <c r="Y44" i="20"/>
  <c r="Y17" i="20"/>
  <c r="Y41" i="9"/>
  <c r="Y42" i="9"/>
  <c r="Y47" i="9"/>
  <c r="X42" i="27"/>
  <c r="X47" i="27"/>
  <c r="X43" i="27"/>
  <c r="X30" i="28"/>
  <c r="X42" i="28"/>
  <c r="X46" i="28"/>
  <c r="X28" i="28"/>
  <c r="Y22" i="23"/>
  <c r="Y47" i="23"/>
  <c r="Y46" i="23"/>
  <c r="Y28" i="22"/>
  <c r="Y38" i="22"/>
  <c r="Y45" i="22"/>
  <c r="Y23" i="22"/>
  <c r="X34" i="26"/>
  <c r="X15" i="25"/>
  <c r="Y25" i="21"/>
  <c r="Y29" i="20"/>
  <c r="X39" i="28"/>
  <c r="Y42" i="23"/>
  <c r="Y37" i="23"/>
  <c r="Y37" i="22"/>
  <c r="X42" i="26"/>
  <c r="X54" i="26"/>
  <c r="X35" i="26"/>
  <c r="X42" i="24"/>
  <c r="X54" i="24"/>
  <c r="X31" i="24"/>
  <c r="X22" i="24"/>
  <c r="X42" i="25"/>
  <c r="X26" i="25"/>
  <c r="X20" i="29"/>
  <c r="Y22" i="21"/>
  <c r="Y35" i="19"/>
  <c r="Y22" i="19"/>
  <c r="Y40" i="19"/>
  <c r="Y50" i="20"/>
  <c r="Y43" i="20"/>
  <c r="Y51" i="9"/>
  <c r="Y29" i="9"/>
  <c r="Y48" i="9"/>
  <c r="Y26" i="9"/>
  <c r="X53" i="27"/>
  <c r="X41" i="27"/>
  <c r="X16" i="28"/>
  <c r="X32" i="28"/>
  <c r="Y16" i="23"/>
  <c r="Y52" i="22"/>
  <c r="Y40" i="22"/>
  <c r="X29" i="28"/>
  <c r="Y20" i="23"/>
  <c r="Y31" i="22"/>
  <c r="X39" i="26"/>
  <c r="X44" i="24"/>
  <c r="X27" i="24"/>
  <c r="X54" i="25"/>
  <c r="X43" i="25"/>
  <c r="X44" i="29"/>
  <c r="X43" i="29"/>
  <c r="X19" i="29"/>
  <c r="Y16" i="21"/>
  <c r="Y51" i="21"/>
  <c r="Y47" i="21"/>
  <c r="Y44" i="19"/>
  <c r="Y27" i="19"/>
  <c r="Y18" i="19"/>
  <c r="Y41" i="19"/>
  <c r="Y19" i="20"/>
  <c r="Y20" i="20"/>
  <c r="Y19" i="9"/>
  <c r="Y32" i="9"/>
  <c r="X45" i="27"/>
  <c r="X48" i="27"/>
  <c r="X18" i="28"/>
  <c r="X37" i="28"/>
  <c r="X53" i="28"/>
  <c r="Y21" i="23"/>
  <c r="Y33" i="23"/>
  <c r="Y41" i="23"/>
  <c r="Y29" i="22"/>
  <c r="Y39" i="22"/>
  <c r="Y32" i="22"/>
  <c r="Y20" i="22"/>
  <c r="X29" i="26"/>
  <c r="X35" i="29"/>
  <c r="Y46" i="20"/>
  <c r="Y21" i="9"/>
  <c r="X51" i="28"/>
  <c r="X27" i="25"/>
  <c r="X46" i="29"/>
  <c r="X21" i="29"/>
  <c r="X52" i="29"/>
  <c r="Y54" i="21"/>
  <c r="Y52" i="21"/>
  <c r="Y18" i="20"/>
  <c r="X25" i="27"/>
  <c r="X35" i="28"/>
  <c r="Y54" i="22"/>
  <c r="X26" i="26"/>
  <c r="X48" i="24"/>
  <c r="X36" i="24"/>
  <c r="X51" i="25"/>
  <c r="Y31" i="20"/>
  <c r="Y31" i="9"/>
  <c r="Y22" i="9"/>
  <c r="X27" i="27"/>
  <c r="X22" i="28"/>
  <c r="X25" i="26"/>
  <c r="X33" i="26"/>
  <c r="X30" i="26"/>
  <c r="X23" i="24"/>
  <c r="X50" i="24"/>
  <c r="X33" i="24"/>
  <c r="X46" i="24"/>
  <c r="X23" i="25"/>
  <c r="X19" i="25"/>
  <c r="X44" i="25"/>
  <c r="X53" i="29"/>
  <c r="X50" i="29"/>
  <c r="X34" i="29"/>
  <c r="X16" i="29"/>
  <c r="Y15" i="21"/>
  <c r="Y23" i="21"/>
  <c r="Y39" i="21"/>
  <c r="Y33" i="19"/>
  <c r="Y26" i="19"/>
  <c r="Y17" i="19"/>
  <c r="Y47" i="19"/>
  <c r="Y48" i="20"/>
  <c r="Y26" i="20"/>
  <c r="Y22" i="20"/>
  <c r="Y40" i="9"/>
  <c r="Y38" i="9"/>
  <c r="Y20" i="9"/>
  <c r="Y45" i="9"/>
  <c r="X18" i="27"/>
  <c r="X50" i="27"/>
  <c r="X32" i="27"/>
  <c r="X20" i="28"/>
  <c r="X26" i="28"/>
  <c r="X34" i="28"/>
  <c r="X27" i="28"/>
  <c r="Y44" i="23"/>
  <c r="Y24" i="23"/>
  <c r="Y26" i="23"/>
  <c r="Y46" i="22"/>
  <c r="Y43" i="22"/>
  <c r="Y42" i="22"/>
  <c r="Y21" i="22"/>
  <c r="Y12" i="27"/>
  <c r="Z11" i="27"/>
  <c r="Y12" i="25"/>
  <c r="Z11" i="25"/>
  <c r="Y12" i="28"/>
  <c r="Z11" i="28"/>
  <c r="AA11" i="21"/>
  <c r="Z12" i="21"/>
  <c r="Z12" i="22"/>
  <c r="AA11" i="22"/>
  <c r="Z11" i="26"/>
  <c r="Y12" i="26"/>
  <c r="AA11" i="23"/>
  <c r="Z12" i="23"/>
  <c r="AA11" i="20"/>
  <c r="Z12" i="20"/>
  <c r="Z11" i="24"/>
  <c r="Y12" i="24"/>
  <c r="Z12" i="9"/>
  <c r="AA11" i="9"/>
  <c r="Z11" i="29"/>
  <c r="Y12" i="29"/>
  <c r="Z12" i="19"/>
  <c r="AA11" i="19"/>
  <c r="Y45" i="27" a="1"/>
  <c r="Y20" i="27" a="1"/>
  <c r="Y48" i="27" a="1"/>
  <c r="Y46" i="27" a="1"/>
  <c r="Y43" i="25" a="1"/>
  <c r="Y48" i="25" a="1"/>
  <c r="Y52" i="25" a="1"/>
  <c r="Y45" i="28" a="1"/>
  <c r="Y24" i="28" a="1"/>
  <c r="Y15" i="28" a="1"/>
  <c r="Y52" i="28" a="1"/>
  <c r="Z52" i="21" a="1"/>
  <c r="Z33" i="21" a="1"/>
  <c r="Z48" i="21" a="1"/>
  <c r="Z40" i="22" a="1"/>
  <c r="Z45" i="22" a="1"/>
  <c r="Z43" i="22" a="1"/>
  <c r="Z49" i="22" a="1"/>
  <c r="Y29" i="26" a="1"/>
  <c r="Y21" i="26" a="1"/>
  <c r="Y39" i="26" a="1"/>
  <c r="Z26" i="23" a="1"/>
  <c r="Z33" i="23" a="1"/>
  <c r="Z53" i="23" a="1"/>
  <c r="Z46" i="23" a="1"/>
  <c r="Z31" i="20" a="1"/>
  <c r="Z22" i="20" a="1"/>
  <c r="Z37" i="20" a="1"/>
  <c r="Y38" i="24" a="1"/>
  <c r="Y32" i="24" a="1"/>
  <c r="Y46" i="24" a="1"/>
  <c r="Y35" i="24" a="1"/>
  <c r="Z18" i="9" a="1"/>
  <c r="Z17" i="9" a="1"/>
  <c r="Z45" i="9" a="1"/>
  <c r="Y38" i="29" a="1"/>
  <c r="Y21" i="29" a="1"/>
  <c r="Y52" i="29" a="1"/>
  <c r="Y49" i="29" a="1"/>
  <c r="Z38" i="19" a="1"/>
  <c r="Z51" i="19" a="1"/>
  <c r="Z42" i="19" a="1"/>
  <c r="Y36" i="27" a="1"/>
  <c r="Y27" i="27" a="1"/>
  <c r="Y30" i="27" a="1"/>
  <c r="Y38" i="25" a="1"/>
  <c r="Y26" i="25" a="1"/>
  <c r="Y49" i="25" a="1"/>
  <c r="Y53" i="28" a="1"/>
  <c r="Y28" i="28" a="1"/>
  <c r="Y26" i="28" a="1"/>
  <c r="Y27" i="28" a="1"/>
  <c r="Z54" i="21" a="1"/>
  <c r="Z41" i="21" a="1"/>
  <c r="Z15" i="22" a="1"/>
  <c r="Z34" i="22" a="1"/>
  <c r="Z42" i="22" a="1"/>
  <c r="Z18" i="22" a="1"/>
  <c r="Y33" i="26" a="1"/>
  <c r="Y17" i="26" a="1"/>
  <c r="Z25" i="23" a="1"/>
  <c r="Z24" i="23" a="1"/>
  <c r="Z18" i="23" a="1"/>
  <c r="Z44" i="20" a="1"/>
  <c r="Z18" i="20" a="1"/>
  <c r="Y22" i="24" a="1"/>
  <c r="Y48" i="24" a="1"/>
  <c r="Y40" i="24" a="1"/>
  <c r="Z33" i="9" a="1"/>
  <c r="Z46" i="9" a="1"/>
  <c r="Y53" i="29" a="1"/>
  <c r="Y17" i="29" a="1"/>
  <c r="Y20" i="29" a="1"/>
  <c r="Y46" i="29" a="1"/>
  <c r="Z25" i="19" a="1"/>
  <c r="Z45" i="19" a="1"/>
  <c r="Z42" i="23" a="1"/>
  <c r="Z41" i="9" a="1"/>
  <c r="Z31" i="19" a="1"/>
  <c r="Y34" i="27" a="1"/>
  <c r="Y19" i="25" a="1"/>
  <c r="Y50" i="25" a="1"/>
  <c r="Y46" i="28" a="1"/>
  <c r="Y31" i="28" a="1"/>
  <c r="Z26" i="21" a="1"/>
  <c r="Z15" i="21" a="1"/>
  <c r="Z41" i="22" a="1"/>
  <c r="Z44" i="22" a="1"/>
  <c r="Z24" i="22" a="1"/>
  <c r="Y31" i="26" a="1"/>
  <c r="Z51" i="23" a="1"/>
  <c r="Y28" i="27" a="1"/>
  <c r="Z17" i="21" a="1"/>
  <c r="Y22" i="26" a="1"/>
  <c r="Z30" i="23" a="1"/>
  <c r="Z26" i="20" a="1"/>
  <c r="Y17" i="24" a="1"/>
  <c r="Z50" i="9" a="1"/>
  <c r="Z46" i="19" a="1"/>
  <c r="Z16" i="23" a="1"/>
  <c r="Z50" i="23" a="1"/>
  <c r="Z28" i="20" a="1"/>
  <c r="Z21" i="20" a="1"/>
  <c r="Z24" i="20" a="1"/>
  <c r="Y21" i="24" a="1"/>
  <c r="Y53" i="24" a="1"/>
  <c r="Y49" i="24" a="1"/>
  <c r="Y25" i="24" a="1"/>
  <c r="Z54" i="9" a="1"/>
  <c r="Z39" i="9" a="1"/>
  <c r="Y30" i="29" a="1"/>
  <c r="Y25" i="29" a="1"/>
  <c r="Y36" i="29" a="1"/>
  <c r="Y41" i="29" a="1"/>
  <c r="Z49" i="19" a="1"/>
  <c r="Z53" i="19" a="1"/>
  <c r="Z35" i="21" a="1"/>
  <c r="Y32" i="26" a="1"/>
  <c r="Z40" i="23" a="1"/>
  <c r="Z49" i="9" a="1"/>
  <c r="Y33" i="29" a="1"/>
  <c r="Z35" i="19" a="1"/>
  <c r="Y37" i="26" a="1"/>
  <c r="Z46" i="20" a="1"/>
  <c r="Y42" i="24" a="1"/>
  <c r="Z35" i="9" a="1"/>
  <c r="Z19" i="19" a="1"/>
  <c r="Y18" i="27" a="1"/>
  <c r="Y39" i="27" a="1"/>
  <c r="Y17" i="27" a="1"/>
  <c r="Y25" i="27" a="1"/>
  <c r="Y32" i="25" a="1"/>
  <c r="Y44" i="25" a="1"/>
  <c r="Y23" i="25" a="1"/>
  <c r="Y47" i="28" a="1"/>
  <c r="Y29" i="28" a="1"/>
  <c r="Y33" i="28" a="1"/>
  <c r="Y40" i="28" a="1"/>
  <c r="Z45" i="21" a="1"/>
  <c r="Z42" i="21" a="1"/>
  <c r="Z51" i="22" a="1"/>
  <c r="Z38" i="22" a="1"/>
  <c r="Z33" i="22" a="1"/>
  <c r="Z48" i="22" a="1"/>
  <c r="Y48" i="26" a="1"/>
  <c r="Y28" i="26" a="1"/>
  <c r="Y49" i="26" a="1"/>
  <c r="Z22" i="23" a="1"/>
  <c r="Y39" i="28" a="1"/>
  <c r="Y38" i="26" a="1"/>
  <c r="Z34" i="23" a="1"/>
  <c r="Z17" i="20" a="1"/>
  <c r="Y19" i="24" a="1"/>
  <c r="Y34" i="24" a="1"/>
  <c r="Z37" i="9" a="1"/>
  <c r="Y27" i="29" a="1"/>
  <c r="Y18" i="29" a="1"/>
  <c r="Z37" i="19" a="1"/>
  <c r="Z25" i="22" a="1"/>
  <c r="Z49" i="20" a="1"/>
  <c r="Z26" i="9" a="1"/>
  <c r="Z29" i="19" a="1"/>
  <c r="Y47" i="27" a="1"/>
  <c r="Y53" i="27" a="1"/>
  <c r="Y16" i="27" a="1"/>
  <c r="Y54" i="27" a="1"/>
  <c r="Y41" i="25" a="1"/>
  <c r="Y47" i="25" a="1"/>
  <c r="Y20" i="25" a="1"/>
  <c r="Y43" i="28" a="1"/>
  <c r="Y32" i="28" a="1"/>
  <c r="Y18" i="28" a="1"/>
  <c r="Y38" i="28" a="1"/>
  <c r="Z19" i="21" a="1"/>
  <c r="Z27" i="21" a="1"/>
  <c r="Z20" i="21" a="1"/>
  <c r="Z29" i="22" a="1"/>
  <c r="Z53" i="22" a="1"/>
  <c r="Z17" i="22" a="1"/>
  <c r="Z32" i="22" a="1"/>
  <c r="Y30" i="26" a="1"/>
  <c r="Y20" i="26" a="1"/>
  <c r="Z39" i="23" a="1"/>
  <c r="Z20" i="23" a="1"/>
  <c r="Z45" i="23" a="1"/>
  <c r="Z38" i="23" a="1"/>
  <c r="Z30" i="20" a="1"/>
  <c r="Z33" i="20" a="1"/>
  <c r="Z50" i="20" a="1"/>
  <c r="Y37" i="24" a="1"/>
  <c r="Y31" i="24" a="1"/>
  <c r="Y41" i="24" a="1"/>
  <c r="Z20" i="9" a="1"/>
  <c r="Z40" i="9" a="1"/>
  <c r="Z36" i="9" a="1"/>
  <c r="Y23" i="29" a="1"/>
  <c r="Y40" i="29" a="1"/>
  <c r="Y34" i="29" a="1"/>
  <c r="Y50" i="29" a="1"/>
  <c r="Z54" i="19" a="1"/>
  <c r="Z41" i="19" a="1"/>
  <c r="Y19" i="27" a="1"/>
  <c r="Y24" i="27" a="1"/>
  <c r="Y22" i="27" a="1"/>
  <c r="Y30" i="25" a="1"/>
  <c r="Y16" i="28" a="1"/>
  <c r="Z23" i="22" a="1"/>
  <c r="Z52" i="20" a="1"/>
  <c r="Z36" i="20" a="1"/>
  <c r="Y51" i="24" a="1"/>
  <c r="Z34" i="9" a="1"/>
  <c r="Y29" i="29" a="1"/>
  <c r="Z16" i="19" a="1"/>
  <c r="Y35" i="26" a="1"/>
  <c r="Z51" i="20" a="1"/>
  <c r="Y43" i="24" a="1"/>
  <c r="Z25" i="9" a="1"/>
  <c r="Z47" i="9" a="1"/>
  <c r="Y19" i="29" a="1"/>
  <c r="Z40" i="19" a="1"/>
  <c r="Y37" i="27" a="1"/>
  <c r="Y15" i="27" a="1"/>
  <c r="Y32" i="27" a="1"/>
  <c r="Y46" i="25" a="1"/>
  <c r="Y39" i="25" a="1"/>
  <c r="Y21" i="25" a="1"/>
  <c r="Y42" i="28" a="1"/>
  <c r="Y36" i="28" a="1"/>
  <c r="Y50" i="28" a="1"/>
  <c r="Z16" i="21" a="1"/>
  <c r="Z46" i="21" a="1"/>
  <c r="Z50" i="21" a="1"/>
  <c r="Z46" i="22" a="1"/>
  <c r="Z20" i="22" a="1"/>
  <c r="Y54" i="26" a="1"/>
  <c r="Y23" i="26" a="1"/>
  <c r="Y41" i="26" a="1"/>
  <c r="Z43" i="23" a="1"/>
  <c r="Z35" i="23" a="1"/>
  <c r="Z36" i="23" a="1"/>
  <c r="Z41" i="20" a="1"/>
  <c r="Z35" i="20" a="1"/>
  <c r="Z15" i="20" a="1"/>
  <c r="Z23" i="20" a="1"/>
  <c r="Y39" i="24" a="1"/>
  <c r="Y45" i="24" a="1"/>
  <c r="Y36" i="24" a="1"/>
  <c r="Z15" i="9" a="1"/>
  <c r="Z28" i="9" a="1"/>
  <c r="Z31" i="9" a="1"/>
  <c r="Z22" i="9" a="1"/>
  <c r="Y35" i="29" a="1"/>
  <c r="Y22" i="29" a="1"/>
  <c r="Y26" i="29" a="1"/>
  <c r="Z17" i="19" a="1"/>
  <c r="Z43" i="19" a="1"/>
  <c r="Z39" i="19" a="1"/>
  <c r="Z18" i="19" a="1"/>
  <c r="Y29" i="27" a="1"/>
  <c r="Y24" i="25" a="1"/>
  <c r="Y20" i="28" a="1"/>
  <c r="Y44" i="28" a="1"/>
  <c r="Z22" i="21" a="1"/>
  <c r="Z37" i="21" a="1"/>
  <c r="Z31" i="21" a="1"/>
  <c r="Z16" i="22" a="1"/>
  <c r="Z31" i="22" a="1"/>
  <c r="Z54" i="22" a="1"/>
  <c r="Y15" i="26" a="1"/>
  <c r="Y34" i="26" a="1"/>
  <c r="Y52" i="26" a="1"/>
  <c r="Y43" i="26" a="1"/>
  <c r="Z37" i="23" a="1"/>
  <c r="Z54" i="20" a="1"/>
  <c r="Y54" i="24" a="1"/>
  <c r="Z19" i="9" a="1"/>
  <c r="Z53" i="9" a="1"/>
  <c r="Y37" i="29" a="1"/>
  <c r="Z23" i="19" a="1"/>
  <c r="Z21" i="19" a="1"/>
  <c r="Y40" i="27" a="1"/>
  <c r="Y52" i="27" a="1"/>
  <c r="Y29" i="25" a="1"/>
  <c r="Y33" i="25" a="1"/>
  <c r="Y16" i="25" a="1"/>
  <c r="Y22" i="28" a="1"/>
  <c r="Y41" i="28" a="1"/>
  <c r="Y19" i="28" a="1"/>
  <c r="Z53" i="21" a="1"/>
  <c r="Z27" i="22" a="1"/>
  <c r="Y44" i="26" a="1"/>
  <c r="Z41" i="23" a="1"/>
  <c r="Y44" i="27" a="1"/>
  <c r="Y15" i="25" a="1"/>
  <c r="Y45" i="25" a="1"/>
  <c r="Y23" i="28" a="1"/>
  <c r="Z21" i="21" a="1"/>
  <c r="Z17" i="23" a="1"/>
  <c r="Z53" i="20" a="1"/>
  <c r="Z45" i="20" a="1"/>
  <c r="Y28" i="24" a="1"/>
  <c r="Y20" i="24" a="1"/>
  <c r="Z16" i="9" a="1"/>
  <c r="Y47" i="29" a="1"/>
  <c r="Y48" i="29" a="1"/>
  <c r="Z52" i="19" a="1"/>
  <c r="Z47" i="19" a="1"/>
  <c r="Y50" i="27" a="1"/>
  <c r="Y22" i="25" a="1"/>
  <c r="Z24" i="21" a="1"/>
  <c r="Z29" i="21" a="1"/>
  <c r="Z38" i="21" a="1"/>
  <c r="Z52" i="22" a="1"/>
  <c r="Z44" i="23" a="1"/>
  <c r="Z29" i="20" a="1"/>
  <c r="Y31" i="27" a="1"/>
  <c r="Y26" i="27" a="1"/>
  <c r="Y33" i="27" a="1"/>
  <c r="Y36" i="25" a="1"/>
  <c r="Y17" i="25" a="1"/>
  <c r="Y37" i="25" a="1"/>
  <c r="Y35" i="25" a="1"/>
  <c r="Y49" i="28" a="1"/>
  <c r="Y51" i="28" a="1"/>
  <c r="Y34" i="28" a="1"/>
  <c r="Z51" i="21" a="1"/>
  <c r="Z28" i="21" a="1"/>
  <c r="Z18" i="21" a="1"/>
  <c r="Z36" i="21" a="1"/>
  <c r="Z36" i="22" a="1"/>
  <c r="Z30" i="22" a="1"/>
  <c r="Z26" i="22" a="1"/>
  <c r="Y46" i="26" a="1"/>
  <c r="Y47" i="26" a="1"/>
  <c r="Y24" i="26" a="1"/>
  <c r="Y40" i="26" a="1"/>
  <c r="Z23" i="23" a="1"/>
  <c r="Z31" i="23" a="1"/>
  <c r="Z32" i="23" a="1"/>
  <c r="Z20" i="20" a="1"/>
  <c r="Z34" i="20" a="1"/>
  <c r="Z19" i="20" a="1"/>
  <c r="Z27" i="20" a="1"/>
  <c r="Y16" i="24" a="1"/>
  <c r="Y47" i="24" a="1"/>
  <c r="Y18" i="24" a="1"/>
  <c r="Z51" i="9" a="1"/>
  <c r="Z48" i="9" a="1"/>
  <c r="Z30" i="9" a="1"/>
  <c r="Z42" i="9" a="1"/>
  <c r="Y16" i="29" a="1"/>
  <c r="Y43" i="29" a="1"/>
  <c r="Y32" i="29" a="1"/>
  <c r="Z33" i="19" a="1"/>
  <c r="Z27" i="19" a="1"/>
  <c r="Z22" i="19" a="1"/>
  <c r="Z34" i="19" a="1"/>
  <c r="Y49" i="27" a="1"/>
  <c r="Y35" i="27" a="1"/>
  <c r="Y43" i="27" a="1"/>
  <c r="Y53" i="25" a="1"/>
  <c r="Y18" i="25" a="1"/>
  <c r="Y54" i="28" a="1"/>
  <c r="Y48" i="28" a="1"/>
  <c r="Z30" i="21" a="1"/>
  <c r="Z37" i="22" a="1"/>
  <c r="Y18" i="26" a="1"/>
  <c r="Z47" i="23" a="1"/>
  <c r="Z15" i="23" a="1"/>
  <c r="Z28" i="23" a="1"/>
  <c r="Z42" i="20" a="1"/>
  <c r="Z47" i="20" a="1"/>
  <c r="Y24" i="24" a="1"/>
  <c r="Z23" i="9" a="1"/>
  <c r="Z30" i="19" a="1"/>
  <c r="Z15" i="19" a="1"/>
  <c r="Y26" i="26" a="1"/>
  <c r="Y29" i="24" a="1"/>
  <c r="Y51" i="29" a="1"/>
  <c r="Y38" i="27" a="1"/>
  <c r="Y51" i="27" a="1"/>
  <c r="Y51" i="25" a="1"/>
  <c r="Y27" i="25" a="1"/>
  <c r="Y54" i="25" a="1"/>
  <c r="Y42" i="25" a="1"/>
  <c r="Y37" i="28" a="1"/>
  <c r="Y21" i="28" a="1"/>
  <c r="Z23" i="21" a="1"/>
  <c r="Z40" i="21" a="1"/>
  <c r="Z32" i="21" a="1"/>
  <c r="Z43" i="21" a="1"/>
  <c r="Z50" i="22" a="1"/>
  <c r="Z39" i="22" a="1"/>
  <c r="Y45" i="26" a="1"/>
  <c r="Y36" i="26" a="1"/>
  <c r="Y16" i="26" a="1"/>
  <c r="Y53" i="26" a="1"/>
  <c r="Z52" i="23" a="1"/>
  <c r="Z21" i="23" a="1"/>
  <c r="Z19" i="23" a="1"/>
  <c r="Z43" i="20" a="1"/>
  <c r="Z16" i="20" a="1"/>
  <c r="Z32" i="20" a="1"/>
  <c r="Y52" i="24" a="1"/>
  <c r="Y23" i="24" a="1"/>
  <c r="Y50" i="24" a="1"/>
  <c r="Z24" i="9" a="1"/>
  <c r="Z44" i="9" a="1"/>
  <c r="Z52" i="9" a="1"/>
  <c r="Z29" i="9" a="1"/>
  <c r="Y24" i="29" a="1"/>
  <c r="Y44" i="29" a="1"/>
  <c r="Y31" i="29" a="1"/>
  <c r="Z28" i="19" a="1"/>
  <c r="Z50" i="19" a="1"/>
  <c r="Z26" i="19" a="1"/>
  <c r="Z44" i="19" a="1"/>
  <c r="Y23" i="27" a="1"/>
  <c r="Y28" i="25" a="1"/>
  <c r="Y17" i="28" a="1"/>
  <c r="Y35" i="28" a="1"/>
  <c r="Z49" i="21" a="1"/>
  <c r="Z34" i="21" a="1"/>
  <c r="Z22" i="22" a="1"/>
  <c r="Z35" i="22" a="1"/>
  <c r="Z47" i="22" a="1"/>
  <c r="Y51" i="26" a="1"/>
  <c r="Y50" i="26" a="1"/>
  <c r="Z48" i="23" a="1"/>
  <c r="Z40" i="20" a="1"/>
  <c r="Y33" i="24" a="1"/>
  <c r="Y27" i="24" a="1"/>
  <c r="Y15" i="24" a="1"/>
  <c r="Z38" i="9" a="1"/>
  <c r="Z21" i="9" a="1"/>
  <c r="Y45" i="29" a="1"/>
  <c r="Y15" i="29" a="1"/>
  <c r="Y54" i="29" a="1"/>
  <c r="Z20" i="19" a="1"/>
  <c r="Z29" i="23" a="1"/>
  <c r="Y21" i="27" a="1"/>
  <c r="Y42" i="27" a="1"/>
  <c r="Y41" i="27" a="1"/>
  <c r="Y40" i="25" a="1"/>
  <c r="Y25" i="25" a="1"/>
  <c r="Y34" i="25" a="1"/>
  <c r="Y31" i="25" a="1"/>
  <c r="Y25" i="28" a="1"/>
  <c r="Y30" i="28" a="1"/>
  <c r="Z39" i="21" a="1"/>
  <c r="Z44" i="21" a="1"/>
  <c r="Z47" i="21" a="1"/>
  <c r="Z25" i="21" a="1"/>
  <c r="Z19" i="22" a="1"/>
  <c r="Z21" i="22" a="1"/>
  <c r="Z28" i="22" a="1"/>
  <c r="Y25" i="26" a="1"/>
  <c r="Y19" i="26" a="1"/>
  <c r="Y42" i="26" a="1"/>
  <c r="Y27" i="26" a="1"/>
  <c r="Z49" i="23" a="1"/>
  <c r="Z27" i="23" a="1"/>
  <c r="Z54" i="23" a="1"/>
  <c r="Z25" i="20" a="1"/>
  <c r="Z48" i="20" a="1"/>
  <c r="Z39" i="20" a="1"/>
  <c r="Z38" i="20" a="1"/>
  <c r="Y30" i="24" a="1"/>
  <c r="Y44" i="24" a="1"/>
  <c r="Y26" i="24" a="1"/>
  <c r="Z27" i="9" a="1"/>
  <c r="Z43" i="9" a="1"/>
  <c r="Z32" i="9" a="1"/>
  <c r="Y42" i="29" a="1"/>
  <c r="Y39" i="29" a="1"/>
  <c r="Y28" i="29" a="1"/>
  <c r="Z32" i="19" a="1"/>
  <c r="Z24" i="19" a="1"/>
  <c r="Z36" i="19" a="1"/>
  <c r="Z48" i="19" a="1"/>
  <c r="Z48" i="19" l="1"/>
  <c r="Z36" i="19"/>
  <c r="Z24" i="19"/>
  <c r="Z32" i="19"/>
  <c r="Y28" i="29"/>
  <c r="Y39" i="29"/>
  <c r="Y42" i="29"/>
  <c r="Z32" i="9"/>
  <c r="Z43" i="9"/>
  <c r="Z27" i="9"/>
  <c r="Y26" i="24"/>
  <c r="Y44" i="24"/>
  <c r="Y30" i="24"/>
  <c r="Z38" i="20"/>
  <c r="Z39" i="20"/>
  <c r="Z48" i="20"/>
  <c r="Z25" i="20"/>
  <c r="Z54" i="23"/>
  <c r="Z27" i="23"/>
  <c r="Z49" i="23"/>
  <c r="Y27" i="26"/>
  <c r="Y42" i="26"/>
  <c r="Y19" i="26"/>
  <c r="Y25" i="26"/>
  <c r="Z28" i="22"/>
  <c r="Z21" i="22"/>
  <c r="Z19" i="22"/>
  <c r="Z25" i="21"/>
  <c r="Z47" i="21"/>
  <c r="Z44" i="21"/>
  <c r="Z39" i="21"/>
  <c r="Y30" i="28"/>
  <c r="Y25" i="28"/>
  <c r="Y31" i="25"/>
  <c r="Y34" i="25"/>
  <c r="Y25" i="25"/>
  <c r="Y40" i="25"/>
  <c r="Y41" i="27"/>
  <c r="Y42" i="27"/>
  <c r="Y21" i="27"/>
  <c r="Z29" i="23"/>
  <c r="Z20" i="19"/>
  <c r="Y54" i="29"/>
  <c r="Y15" i="29"/>
  <c r="Y45" i="29"/>
  <c r="Z21" i="9"/>
  <c r="Z38" i="9"/>
  <c r="Y15" i="24"/>
  <c r="Y27" i="24"/>
  <c r="Y33" i="24"/>
  <c r="Z40" i="20"/>
  <c r="Z48" i="23"/>
  <c r="Y50" i="26"/>
  <c r="Y51" i="26"/>
  <c r="Z47" i="22"/>
  <c r="Z35" i="22"/>
  <c r="Z22" i="22"/>
  <c r="Z34" i="21"/>
  <c r="Z49" i="21"/>
  <c r="Y35" i="28"/>
  <c r="Y17" i="28"/>
  <c r="Y28" i="25"/>
  <c r="Y23" i="27"/>
  <c r="Z44" i="19"/>
  <c r="Z26" i="19"/>
  <c r="Z50" i="19"/>
  <c r="Z28" i="19"/>
  <c r="Y31" i="29"/>
  <c r="Y44" i="29"/>
  <c r="Y24" i="29"/>
  <c r="Z29" i="9"/>
  <c r="Z52" i="9"/>
  <c r="Z44" i="9"/>
  <c r="Z24" i="9"/>
  <c r="Y50" i="24"/>
  <c r="Y23" i="24"/>
  <c r="Y52" i="24"/>
  <c r="Z32" i="20"/>
  <c r="Z16" i="20"/>
  <c r="Z43" i="20"/>
  <c r="Z19" i="23"/>
  <c r="Z21" i="23"/>
  <c r="Z52" i="23"/>
  <c r="Y53" i="26"/>
  <c r="Y16" i="26"/>
  <c r="Y36" i="26"/>
  <c r="Y45" i="26"/>
  <c r="Z39" i="22"/>
  <c r="Z50" i="22"/>
  <c r="Z43" i="21"/>
  <c r="Z32" i="21"/>
  <c r="Z40" i="21"/>
  <c r="Z23" i="21"/>
  <c r="Y21" i="28"/>
  <c r="Y37" i="28"/>
  <c r="Y42" i="25"/>
  <c r="Y54" i="25"/>
  <c r="Y27" i="25"/>
  <c r="Y51" i="25"/>
  <c r="Y51" i="27"/>
  <c r="Y38" i="27"/>
  <c r="Y51" i="29"/>
  <c r="Y29" i="24"/>
  <c r="Y26" i="26"/>
  <c r="Z15" i="19"/>
  <c r="Z30" i="19"/>
  <c r="Z23" i="9"/>
  <c r="Y24" i="24"/>
  <c r="Z47" i="20"/>
  <c r="Z42" i="20"/>
  <c r="Z28" i="23"/>
  <c r="Z15" i="23"/>
  <c r="Z47" i="23"/>
  <c r="Y18" i="26"/>
  <c r="Z37" i="22"/>
  <c r="Z30" i="21"/>
  <c r="Y48" i="28"/>
  <c r="Y54" i="28"/>
  <c r="Y18" i="25"/>
  <c r="Y53" i="25"/>
  <c r="Y43" i="27"/>
  <c r="Y35" i="27"/>
  <c r="Y49" i="27"/>
  <c r="Z34" i="19"/>
  <c r="Z22" i="19"/>
  <c r="Z27" i="19"/>
  <c r="Z33" i="19"/>
  <c r="Y32" i="29"/>
  <c r="Y43" i="29"/>
  <c r="Y16" i="29"/>
  <c r="Z42" i="9"/>
  <c r="Z30" i="9"/>
  <c r="Z48" i="9"/>
  <c r="Z51" i="9"/>
  <c r="Y18" i="24"/>
  <c r="Y47" i="24"/>
  <c r="Y16" i="24"/>
  <c r="Z27" i="20"/>
  <c r="Z19" i="20"/>
  <c r="Z34" i="20"/>
  <c r="Z20" i="20"/>
  <c r="Z32" i="23"/>
  <c r="Z31" i="23"/>
  <c r="Z23" i="23"/>
  <c r="Y40" i="26"/>
  <c r="Y24" i="26"/>
  <c r="Y47" i="26"/>
  <c r="Y46" i="26"/>
  <c r="Z26" i="22"/>
  <c r="Z30" i="22"/>
  <c r="Z36" i="22"/>
  <c r="Z36" i="21"/>
  <c r="Z18" i="21"/>
  <c r="Z28" i="21"/>
  <c r="Z51" i="21"/>
  <c r="Y34" i="28"/>
  <c r="Y51" i="28"/>
  <c r="Y49" i="28"/>
  <c r="Y35" i="25"/>
  <c r="Y37" i="25"/>
  <c r="Y17" i="25"/>
  <c r="Y36" i="25"/>
  <c r="Y33" i="27"/>
  <c r="Y26" i="27"/>
  <c r="Y31" i="27"/>
  <c r="Z29" i="20"/>
  <c r="Z44" i="23"/>
  <c r="Z52" i="22"/>
  <c r="Z38" i="21"/>
  <c r="Z29" i="21"/>
  <c r="Z24" i="21"/>
  <c r="Y22" i="25"/>
  <c r="Y50" i="27"/>
  <c r="Z47" i="19"/>
  <c r="Z52" i="19"/>
  <c r="Y48" i="29"/>
  <c r="Y47" i="29"/>
  <c r="Z16" i="9"/>
  <c r="Y20" i="24"/>
  <c r="Y28" i="24"/>
  <c r="Z45" i="20"/>
  <c r="Z53" i="20"/>
  <c r="Z17" i="23"/>
  <c r="Z21" i="21"/>
  <c r="Y23" i="28"/>
  <c r="Y45" i="25"/>
  <c r="Y15" i="25"/>
  <c r="Y44" i="27"/>
  <c r="Z41" i="23"/>
  <c r="Y44" i="26"/>
  <c r="Z27" i="22"/>
  <c r="Z53" i="21"/>
  <c r="Y19" i="28"/>
  <c r="Y41" i="28"/>
  <c r="Y22" i="28"/>
  <c r="Y16" i="25"/>
  <c r="Y33" i="25"/>
  <c r="Y29" i="25"/>
  <c r="Y52" i="27"/>
  <c r="Y40" i="27"/>
  <c r="Z21" i="19"/>
  <c r="Z23" i="19"/>
  <c r="Y37" i="29"/>
  <c r="Z53" i="9"/>
  <c r="Z19" i="9"/>
  <c r="Y54" i="24"/>
  <c r="Z54" i="20"/>
  <c r="Z37" i="23"/>
  <c r="Y43" i="26"/>
  <c r="Y52" i="26"/>
  <c r="Y34" i="26"/>
  <c r="Y15" i="26"/>
  <c r="Z54" i="22"/>
  <c r="Z31" i="22"/>
  <c r="Z16" i="22"/>
  <c r="Z31" i="21"/>
  <c r="Z37" i="21"/>
  <c r="Z22" i="21"/>
  <c r="Y44" i="28"/>
  <c r="Y20" i="28"/>
  <c r="Y24" i="25"/>
  <c r="Y29" i="27"/>
  <c r="Z18" i="19"/>
  <c r="Z39" i="19"/>
  <c r="Z43" i="19"/>
  <c r="Z17" i="19"/>
  <c r="Y26" i="29"/>
  <c r="Y22" i="29"/>
  <c r="Y35" i="29"/>
  <c r="Z22" i="9"/>
  <c r="Z31" i="9"/>
  <c r="Z28" i="9"/>
  <c r="Z15" i="9"/>
  <c r="Y36" i="24"/>
  <c r="Y45" i="24"/>
  <c r="Y39" i="24"/>
  <c r="Z23" i="20"/>
  <c r="Z15" i="20"/>
  <c r="Z35" i="20"/>
  <c r="Z41" i="20"/>
  <c r="Z36" i="23"/>
  <c r="Z35" i="23"/>
  <c r="Z43" i="23"/>
  <c r="Y41" i="26"/>
  <c r="Y23" i="26"/>
  <c r="Y54" i="26"/>
  <c r="Z20" i="22"/>
  <c r="Z46" i="22"/>
  <c r="Z50" i="21"/>
  <c r="Z46" i="21"/>
  <c r="Z16" i="21"/>
  <c r="Y50" i="28"/>
  <c r="Y36" i="28"/>
  <c r="Y42" i="28"/>
  <c r="Y21" i="25"/>
  <c r="Y39" i="25"/>
  <c r="Y46" i="25"/>
  <c r="Y32" i="27"/>
  <c r="Y15" i="27"/>
  <c r="Y37" i="27"/>
  <c r="Z40" i="19"/>
  <c r="Y19" i="29"/>
  <c r="Z47" i="9"/>
  <c r="Z25" i="9"/>
  <c r="Y43" i="24"/>
  <c r="Z51" i="20"/>
  <c r="Y35" i="26"/>
  <c r="Z16" i="19"/>
  <c r="Y29" i="29"/>
  <c r="Z34" i="9"/>
  <c r="Y51" i="24"/>
  <c r="Z36" i="20"/>
  <c r="Z52" i="20"/>
  <c r="Z23" i="22"/>
  <c r="Y16" i="28"/>
  <c r="Y30" i="25"/>
  <c r="Y22" i="27"/>
  <c r="Y24" i="27"/>
  <c r="Y19" i="27"/>
  <c r="Z41" i="19"/>
  <c r="Z54" i="19"/>
  <c r="Y50" i="29"/>
  <c r="Y34" i="29"/>
  <c r="Y40" i="29"/>
  <c r="Y23" i="29"/>
  <c r="Z36" i="9"/>
  <c r="Z40" i="9"/>
  <c r="Z20" i="9"/>
  <c r="Y41" i="24"/>
  <c r="Y31" i="24"/>
  <c r="Y37" i="24"/>
  <c r="Z50" i="20"/>
  <c r="Z33" i="20"/>
  <c r="Z30" i="20"/>
  <c r="Z38" i="23"/>
  <c r="Z45" i="23"/>
  <c r="Z20" i="23"/>
  <c r="Z39" i="23"/>
  <c r="Y20" i="26"/>
  <c r="Y30" i="26"/>
  <c r="Z32" i="22"/>
  <c r="Z17" i="22"/>
  <c r="Z53" i="22"/>
  <c r="Z29" i="22"/>
  <c r="Z20" i="21"/>
  <c r="Z27" i="21"/>
  <c r="Z19" i="21"/>
  <c r="Y38" i="28"/>
  <c r="Y18" i="28"/>
  <c r="Y32" i="28"/>
  <c r="Y43" i="28"/>
  <c r="Y20" i="25"/>
  <c r="Y47" i="25"/>
  <c r="Y41" i="25"/>
  <c r="Y54" i="27"/>
  <c r="Y16" i="27"/>
  <c r="Y53" i="27"/>
  <c r="Y47" i="27"/>
  <c r="Z29" i="19"/>
  <c r="Z26" i="9"/>
  <c r="Z49" i="20"/>
  <c r="Z25" i="22"/>
  <c r="Z37" i="19"/>
  <c r="Y18" i="29"/>
  <c r="Y27" i="29"/>
  <c r="Z37" i="9"/>
  <c r="Y34" i="24"/>
  <c r="Y19" i="24"/>
  <c r="Z17" i="20"/>
  <c r="Z34" i="23"/>
  <c r="Y38" i="26"/>
  <c r="Y39" i="28"/>
  <c r="Z22" i="23"/>
  <c r="Y49" i="26"/>
  <c r="Y28" i="26"/>
  <c r="Y48" i="26"/>
  <c r="Z48" i="22"/>
  <c r="Z33" i="22"/>
  <c r="Z38" i="22"/>
  <c r="Z51" i="22"/>
  <c r="Z42" i="21"/>
  <c r="Z45" i="21"/>
  <c r="Y40" i="28"/>
  <c r="Y33" i="28"/>
  <c r="Y29" i="28"/>
  <c r="Y47" i="28"/>
  <c r="Y23" i="25"/>
  <c r="Y44" i="25"/>
  <c r="Y32" i="25"/>
  <c r="Y25" i="27"/>
  <c r="Y17" i="27"/>
  <c r="Y39" i="27"/>
  <c r="Y18" i="27"/>
  <c r="Z19" i="19"/>
  <c r="Z35" i="9"/>
  <c r="Y42" i="24"/>
  <c r="Z46" i="20"/>
  <c r="Y37" i="26"/>
  <c r="Z35" i="19"/>
  <c r="Y33" i="29"/>
  <c r="Z49" i="9"/>
  <c r="Z40" i="23"/>
  <c r="Y32" i="26"/>
  <c r="Z35" i="21"/>
  <c r="Z53" i="19"/>
  <c r="Z49" i="19"/>
  <c r="Y41" i="29"/>
  <c r="Y36" i="29"/>
  <c r="Y25" i="29"/>
  <c r="Y30" i="29"/>
  <c r="Z39" i="9"/>
  <c r="Z54" i="9"/>
  <c r="Y25" i="24"/>
  <c r="Y49" i="24"/>
  <c r="Y53" i="24"/>
  <c r="Y21" i="24"/>
  <c r="Z24" i="20"/>
  <c r="Z21" i="20"/>
  <c r="Z28" i="20"/>
  <c r="Z50" i="23"/>
  <c r="Z16" i="23"/>
  <c r="Z46" i="19"/>
  <c r="Z50" i="9"/>
  <c r="Y17" i="24"/>
  <c r="Z26" i="20"/>
  <c r="Z30" i="23"/>
  <c r="Y22" i="26"/>
  <c r="Z17" i="21"/>
  <c r="Y28" i="27"/>
  <c r="Z51" i="23"/>
  <c r="Y31" i="26"/>
  <c r="Z24" i="22"/>
  <c r="Z44" i="22"/>
  <c r="Z41" i="22"/>
  <c r="Z15" i="21"/>
  <c r="Z26" i="21"/>
  <c r="Y31" i="28"/>
  <c r="Y46" i="28"/>
  <c r="Y50" i="25"/>
  <c r="Y19" i="25"/>
  <c r="Y34" i="27"/>
  <c r="Z31" i="19"/>
  <c r="Z41" i="9"/>
  <c r="Z42" i="23"/>
  <c r="Z45" i="19"/>
  <c r="Z25" i="19"/>
  <c r="Y46" i="29"/>
  <c r="Y20" i="29"/>
  <c r="Y17" i="29"/>
  <c r="Y53" i="29"/>
  <c r="Z46" i="9"/>
  <c r="Z33" i="9"/>
  <c r="Y40" i="24"/>
  <c r="Y48" i="24"/>
  <c r="Y22" i="24"/>
  <c r="Z18" i="20"/>
  <c r="Z44" i="20"/>
  <c r="Z18" i="23"/>
  <c r="Z24" i="23"/>
  <c r="Z25" i="23"/>
  <c r="Y17" i="26"/>
  <c r="Y33" i="26"/>
  <c r="Z18" i="22"/>
  <c r="Z42" i="22"/>
  <c r="Z34" i="22"/>
  <c r="Z15" i="22"/>
  <c r="Z41" i="21"/>
  <c r="Z54" i="21"/>
  <c r="Y27" i="28"/>
  <c r="Y26" i="28"/>
  <c r="Y28" i="28"/>
  <c r="Y53" i="28"/>
  <c r="Y49" i="25"/>
  <c r="Y26" i="25"/>
  <c r="Y38" i="25"/>
  <c r="Y30" i="27"/>
  <c r="Y27" i="27"/>
  <c r="Y36" i="27"/>
  <c r="Z42" i="19"/>
  <c r="Z51" i="19"/>
  <c r="Z38" i="19"/>
  <c r="Y49" i="29"/>
  <c r="Y52" i="29"/>
  <c r="Y21" i="29"/>
  <c r="Y38" i="29"/>
  <c r="Z45" i="9"/>
  <c r="Z17" i="9"/>
  <c r="Z18" i="9"/>
  <c r="Y35" i="24"/>
  <c r="Y46" i="24"/>
  <c r="Y32" i="24"/>
  <c r="Y38" i="24"/>
  <c r="Z37" i="20"/>
  <c r="Z22" i="20"/>
  <c r="Z31" i="20"/>
  <c r="Z46" i="23"/>
  <c r="Z53" i="23"/>
  <c r="Z33" i="23"/>
  <c r="Z26" i="23"/>
  <c r="Y39" i="26"/>
  <c r="Y21" i="26"/>
  <c r="Y29" i="26"/>
  <c r="Z49" i="22"/>
  <c r="Z43" i="22"/>
  <c r="Z45" i="22"/>
  <c r="Z40" i="22"/>
  <c r="Z48" i="21"/>
  <c r="Z33" i="21"/>
  <c r="Z52" i="21"/>
  <c r="Y52" i="28"/>
  <c r="Y15" i="28"/>
  <c r="Y24" i="28"/>
  <c r="Y45" i="28"/>
  <c r="Y52" i="25"/>
  <c r="Y48" i="25"/>
  <c r="Y43" i="25"/>
  <c r="Y46" i="27"/>
  <c r="Y48" i="27"/>
  <c r="Y20" i="27"/>
  <c r="Y45" i="27"/>
  <c r="AA12" i="9"/>
  <c r="AB11" i="9"/>
  <c r="AA11" i="28"/>
  <c r="Z12" i="28"/>
  <c r="AB11" i="22"/>
  <c r="AA12" i="22"/>
  <c r="Z12" i="27"/>
  <c r="AA11" i="27"/>
  <c r="AB11" i="19"/>
  <c r="AA12" i="19"/>
  <c r="Z12" i="29"/>
  <c r="AA11" i="29"/>
  <c r="AA12" i="20"/>
  <c r="AB11" i="20"/>
  <c r="AA11" i="25"/>
  <c r="Z12" i="25"/>
  <c r="AA12" i="21"/>
  <c r="AB11" i="21"/>
  <c r="Z12" i="26"/>
  <c r="AA11" i="26"/>
  <c r="AB11" i="23"/>
  <c r="AA12" i="23"/>
  <c r="Z12" i="24"/>
  <c r="AA11" i="24"/>
  <c r="AA53" i="21" a="1"/>
  <c r="AA46" i="9" a="1"/>
  <c r="AA35" i="22" a="1"/>
  <c r="Z28" i="27" a="1"/>
  <c r="AA19" i="19" a="1"/>
  <c r="AA26" i="20" a="1"/>
  <c r="Z43" i="26" a="1"/>
  <c r="AA54" i="9" a="1"/>
  <c r="AA43" i="9" a="1"/>
  <c r="AA21" i="9" a="1"/>
  <c r="AA49" i="9" a="1"/>
  <c r="Z23" i="28" a="1"/>
  <c r="Z24" i="28" a="1"/>
  <c r="Z44" i="28" a="1"/>
  <c r="AA26" i="22" a="1"/>
  <c r="AA18" i="22" a="1"/>
  <c r="AA27" i="22" a="1"/>
  <c r="AA22" i="22" a="1"/>
  <c r="Z33" i="27" a="1"/>
  <c r="Z40" i="27" a="1"/>
  <c r="Z50" i="27" a="1"/>
  <c r="AA45" i="19" a="1"/>
  <c r="AA35" i="19" a="1"/>
  <c r="AA53" i="19" a="1"/>
  <c r="AA50" i="19" a="1"/>
  <c r="Z25" i="29" a="1"/>
  <c r="Z53" i="29" a="1"/>
  <c r="Z38" i="29" a="1"/>
  <c r="AA33" i="20" a="1"/>
  <c r="AA54" i="20" a="1"/>
  <c r="AA50" i="20" a="1"/>
  <c r="AA43" i="20" a="1"/>
  <c r="Z22" i="25" a="1"/>
  <c r="Z43" i="25" a="1"/>
  <c r="Z18" i="25" a="1"/>
  <c r="AA34" i="21" a="1"/>
  <c r="AA32" i="21" a="1"/>
  <c r="AA16" i="21" a="1"/>
  <c r="AA52" i="21" a="1"/>
  <c r="Z17" i="26" a="1"/>
  <c r="Z50" i="26" a="1"/>
  <c r="Z22" i="26" a="1"/>
  <c r="AA15" i="23" a="1"/>
  <c r="AA47" i="23" a="1"/>
  <c r="AA36" i="23" a="1"/>
  <c r="AA53" i="23" a="1"/>
  <c r="Z36" i="24" a="1"/>
  <c r="Z27" i="24" a="1"/>
  <c r="AA38" i="23" a="1"/>
  <c r="AA44" i="23" a="1"/>
  <c r="Z48" i="24" a="1"/>
  <c r="AA44" i="9" a="1"/>
  <c r="AA29" i="9" a="1"/>
  <c r="AA25" i="9" a="1"/>
  <c r="AA45" i="9" a="1"/>
  <c r="Z30" i="28" a="1"/>
  <c r="Z43" i="28" a="1"/>
  <c r="Z47" i="28" a="1"/>
  <c r="AA41" i="22" a="1"/>
  <c r="AA37" i="22" a="1"/>
  <c r="AA44" i="22" a="1"/>
  <c r="AA45" i="22" a="1"/>
  <c r="Z18" i="27" a="1"/>
  <c r="Z48" i="27" a="1"/>
  <c r="AA17" i="19" a="1"/>
  <c r="AA41" i="19" a="1"/>
  <c r="AA33" i="19" a="1"/>
  <c r="AA46" i="19" a="1"/>
  <c r="Z24" i="29" a="1"/>
  <c r="Z49" i="29" a="1"/>
  <c r="AA44" i="20" a="1"/>
  <c r="AA27" i="20" a="1"/>
  <c r="AA47" i="20" a="1"/>
  <c r="Z23" i="25" a="1"/>
  <c r="AA29" i="21" a="1"/>
  <c r="AA53" i="9" a="1"/>
  <c r="AA28" i="9" a="1"/>
  <c r="AA39" i="9" a="1"/>
  <c r="AA26" i="9" a="1"/>
  <c r="Z48" i="28" a="1"/>
  <c r="Z29" i="28" a="1"/>
  <c r="Z51" i="28" a="1"/>
  <c r="AA33" i="22" a="1"/>
  <c r="AA32" i="22" a="1"/>
  <c r="AA39" i="22" a="1"/>
  <c r="AA17" i="22" a="1"/>
  <c r="Z31" i="27" a="1"/>
  <c r="Z51" i="27" a="1"/>
  <c r="Z52" i="27" a="1"/>
  <c r="AA26" i="19" a="1"/>
  <c r="AA22" i="19" a="1"/>
  <c r="AA25" i="19" a="1"/>
  <c r="AA54" i="19" a="1"/>
  <c r="Z50" i="29" a="1"/>
  <c r="Z15" i="29" a="1"/>
  <c r="Z31" i="29" a="1"/>
  <c r="AA51" i="20" a="1"/>
  <c r="AA28" i="20" a="1"/>
  <c r="AA53" i="20" a="1"/>
  <c r="AA15" i="20" a="1"/>
  <c r="Z19" i="25" a="1"/>
  <c r="Z27" i="25" a="1"/>
  <c r="Z16" i="25" a="1"/>
  <c r="AA44" i="21" a="1"/>
  <c r="AA26" i="21" a="1"/>
  <c r="AA28" i="21" a="1"/>
  <c r="AA46" i="21" a="1"/>
  <c r="Z35" i="26" a="1"/>
  <c r="Z48" i="26" a="1"/>
  <c r="Z28" i="26" a="1"/>
  <c r="AA21" i="23" a="1"/>
  <c r="AA40" i="23" a="1"/>
  <c r="Z29" i="24" a="1"/>
  <c r="Z40" i="24" a="1"/>
  <c r="Z32" i="29" a="1"/>
  <c r="Z35" i="25" a="1"/>
  <c r="Z25" i="25" a="1"/>
  <c r="AA25" i="21" a="1"/>
  <c r="AA45" i="21" a="1"/>
  <c r="AA18" i="21" a="1"/>
  <c r="AA20" i="21" a="1"/>
  <c r="Z29" i="26" a="1"/>
  <c r="Z27" i="26" a="1"/>
  <c r="Z26" i="26" a="1"/>
  <c r="AA45" i="23" a="1"/>
  <c r="AA26" i="23" a="1"/>
  <c r="AA33" i="23" a="1"/>
  <c r="Z26" i="24" a="1"/>
  <c r="Z49" i="24" a="1"/>
  <c r="Z41" i="24" a="1"/>
  <c r="AA30" i="9" a="1"/>
  <c r="AA53" i="22" a="1"/>
  <c r="Z37" i="29" a="1"/>
  <c r="AA25" i="20" a="1"/>
  <c r="AA43" i="21" a="1"/>
  <c r="AA27" i="23" a="1"/>
  <c r="AA42" i="9" a="1"/>
  <c r="AA38" i="9" a="1"/>
  <c r="AA22" i="9" a="1"/>
  <c r="AA51" i="9" a="1"/>
  <c r="Z18" i="28" a="1"/>
  <c r="Z19" i="28" a="1"/>
  <c r="AA46" i="22" a="1"/>
  <c r="AA47" i="22" a="1"/>
  <c r="AA51" i="22" a="1"/>
  <c r="AA38" i="22" a="1"/>
  <c r="Z53" i="27" a="1"/>
  <c r="Z19" i="27" a="1"/>
  <c r="Z25" i="27" a="1"/>
  <c r="AA44" i="19" a="1"/>
  <c r="AA31" i="19" a="1"/>
  <c r="AA40" i="19" a="1"/>
  <c r="Z27" i="29" a="1"/>
  <c r="Z47" i="29" a="1"/>
  <c r="Z21" i="29" a="1"/>
  <c r="AA30" i="20" a="1"/>
  <c r="AA21" i="20" a="1"/>
  <c r="AA34" i="20" a="1"/>
  <c r="AA45" i="20" a="1"/>
  <c r="Z29" i="25" a="1"/>
  <c r="Z20" i="25" a="1"/>
  <c r="AA49" i="21" a="1"/>
  <c r="AA47" i="21" a="1"/>
  <c r="AA54" i="21" a="1"/>
  <c r="Z51" i="26" a="1"/>
  <c r="Z44" i="26" a="1"/>
  <c r="Z37" i="26" a="1"/>
  <c r="AA28" i="23" a="1"/>
  <c r="AA24" i="23" a="1"/>
  <c r="AA29" i="23" a="1"/>
  <c r="AA34" i="23" a="1"/>
  <c r="Z17" i="24" a="1"/>
  <c r="Z43" i="24" a="1"/>
  <c r="Z47" i="24" a="1"/>
  <c r="Z31" i="25" a="1"/>
  <c r="Z40" i="25" a="1"/>
  <c r="AA30" i="21" a="1"/>
  <c r="AA42" i="21" a="1"/>
  <c r="Z19" i="26" a="1"/>
  <c r="Z33" i="26" a="1"/>
  <c r="AA42" i="23" a="1"/>
  <c r="Z16" i="24" a="1"/>
  <c r="AA40" i="21" a="1"/>
  <c r="Z41" i="26" a="1"/>
  <c r="AA20" i="23" a="1"/>
  <c r="AA50" i="23" a="1"/>
  <c r="Z23" i="24" a="1"/>
  <c r="Z49" i="28" a="1"/>
  <c r="Z37" i="28" a="1"/>
  <c r="AA54" i="22" a="1"/>
  <c r="Z39" i="27" a="1"/>
  <c r="Z45" i="27" a="1"/>
  <c r="Z38" i="27" a="1"/>
  <c r="AA24" i="19" a="1"/>
  <c r="Z29" i="29" a="1"/>
  <c r="AA48" i="21" a="1"/>
  <c r="Z52" i="26" a="1"/>
  <c r="Z42" i="26" a="1"/>
  <c r="AA19" i="23" a="1"/>
  <c r="Z28" i="24" a="1"/>
  <c r="Z54" i="24" a="1"/>
  <c r="AA43" i="19" a="1"/>
  <c r="Z36" i="25" a="1"/>
  <c r="AA23" i="23" a="1"/>
  <c r="Z53" i="24" a="1"/>
  <c r="AA48" i="9" a="1"/>
  <c r="AA18" i="9" a="1"/>
  <c r="AA36" i="9" a="1"/>
  <c r="Z54" i="28" a="1"/>
  <c r="Z42" i="28" a="1"/>
  <c r="Z36" i="28" a="1"/>
  <c r="Z46" i="28" a="1"/>
  <c r="AA40" i="22" a="1"/>
  <c r="AA34" i="22" a="1"/>
  <c r="AA48" i="22" a="1"/>
  <c r="Z20" i="27" a="1"/>
  <c r="Z43" i="27" a="1"/>
  <c r="Z23" i="27" a="1"/>
  <c r="Z15" i="27" a="1"/>
  <c r="AA23" i="19" a="1"/>
  <c r="AA34" i="19" a="1"/>
  <c r="Z18" i="29" a="1"/>
  <c r="Z16" i="29" a="1"/>
  <c r="Z30" i="29" a="1"/>
  <c r="AA42" i="20" a="1"/>
  <c r="AA17" i="20" a="1"/>
  <c r="AA22" i="20" a="1"/>
  <c r="Z51" i="25" a="1"/>
  <c r="Z47" i="25" a="1"/>
  <c r="AA33" i="21" a="1"/>
  <c r="Z25" i="26" a="1"/>
  <c r="AA32" i="23" a="1"/>
  <c r="AA31" i="23" a="1"/>
  <c r="Z37" i="24" a="1"/>
  <c r="Z35" i="24" a="1"/>
  <c r="AA41" i="21" a="1"/>
  <c r="Z15" i="26" a="1"/>
  <c r="Z23" i="26" a="1"/>
  <c r="Z31" i="26" a="1"/>
  <c r="AA49" i="23" a="1"/>
  <c r="Z19" i="24" a="1"/>
  <c r="Z34" i="24" a="1"/>
  <c r="Z24" i="24" a="1"/>
  <c r="Z25" i="28" a="1"/>
  <c r="Z46" i="27" a="1"/>
  <c r="AA27" i="19" a="1"/>
  <c r="AA15" i="19" a="1"/>
  <c r="Z35" i="29" a="1"/>
  <c r="Z48" i="29" a="1"/>
  <c r="Z42" i="29" a="1"/>
  <c r="AA37" i="20" a="1"/>
  <c r="AA49" i="20" a="1"/>
  <c r="Z34" i="25" a="1"/>
  <c r="Z24" i="25" a="1"/>
  <c r="Z15" i="25" a="1"/>
  <c r="Z42" i="25" a="1"/>
  <c r="Z16" i="26" a="1"/>
  <c r="AA30" i="23" a="1"/>
  <c r="Z45" i="24" a="1"/>
  <c r="Z46" i="24" a="1"/>
  <c r="AA39" i="20" a="1"/>
  <c r="Z40" i="26" a="1"/>
  <c r="AA46" i="23" a="1"/>
  <c r="AA37" i="9" a="1"/>
  <c r="AA41" i="9" a="1"/>
  <c r="Z33" i="28" a="1"/>
  <c r="Z27" i="28" a="1"/>
  <c r="Z52" i="28" a="1"/>
  <c r="AA25" i="22" a="1"/>
  <c r="AA19" i="22" a="1"/>
  <c r="AA30" i="22" a="1"/>
  <c r="Z17" i="27" a="1"/>
  <c r="Z29" i="27" a="1"/>
  <c r="Z36" i="27" a="1"/>
  <c r="Z27" i="27" a="1"/>
  <c r="AA16" i="19" a="1"/>
  <c r="AA37" i="19" a="1"/>
  <c r="AA30" i="19" a="1"/>
  <c r="Z22" i="29" a="1"/>
  <c r="Z33" i="29" a="1"/>
  <c r="Z43" i="29" a="1"/>
  <c r="Z28" i="29" a="1"/>
  <c r="AA32" i="20" a="1"/>
  <c r="AA36" i="20" a="1"/>
  <c r="AA18" i="20" a="1"/>
  <c r="Z46" i="25" a="1"/>
  <c r="Z30" i="25" a="1"/>
  <c r="Z32" i="25" a="1"/>
  <c r="Z26" i="25" a="1"/>
  <c r="AA51" i="21" a="1"/>
  <c r="AA52" i="9" a="1"/>
  <c r="AA24" i="9" a="1"/>
  <c r="Z21" i="28" a="1"/>
  <c r="AA24" i="22" a="1"/>
  <c r="AA20" i="20" a="1"/>
  <c r="AA21" i="21" a="1"/>
  <c r="Z54" i="26" a="1"/>
  <c r="AA54" i="23" a="1"/>
  <c r="AA17" i="9" a="1"/>
  <c r="AA49" i="19" a="1"/>
  <c r="Z36" i="29" a="1"/>
  <c r="Z54" i="25" a="1"/>
  <c r="Z18" i="24" a="1"/>
  <c r="AA31" i="9" a="1"/>
  <c r="AA20" i="9" a="1"/>
  <c r="AA32" i="9" a="1"/>
  <c r="Z45" i="28" a="1"/>
  <c r="Z22" i="28" a="1"/>
  <c r="Z26" i="28" a="1"/>
  <c r="Z20" i="28" a="1"/>
  <c r="AA49" i="22" a="1"/>
  <c r="AA29" i="22" a="1"/>
  <c r="AA20" i="22" a="1"/>
  <c r="Z54" i="27" a="1"/>
  <c r="Z26" i="27" a="1"/>
  <c r="Z37" i="27" a="1"/>
  <c r="Z21" i="27" a="1"/>
  <c r="AA42" i="19" a="1"/>
  <c r="AA28" i="19" a="1"/>
  <c r="AA51" i="19" a="1"/>
  <c r="Z46" i="29" a="1"/>
  <c r="Z23" i="29" a="1"/>
  <c r="Z17" i="29" a="1"/>
  <c r="AA35" i="20" a="1"/>
  <c r="AA48" i="20" a="1"/>
  <c r="Z48" i="25" a="1"/>
  <c r="Z37" i="25" a="1"/>
  <c r="Z45" i="25" a="1"/>
  <c r="Z49" i="25" a="1"/>
  <c r="AA37" i="21" a="1"/>
  <c r="AA15" i="21" a="1"/>
  <c r="AA38" i="21" a="1"/>
  <c r="Z30" i="26" a="1"/>
  <c r="Z18" i="26" a="1"/>
  <c r="Z47" i="26" a="1"/>
  <c r="AA52" i="23" a="1"/>
  <c r="AA41" i="23" a="1"/>
  <c r="AA18" i="23" a="1"/>
  <c r="Z38" i="24" a="1"/>
  <c r="Z31" i="24" a="1"/>
  <c r="Z52" i="24" a="1"/>
  <c r="Z42" i="24" a="1"/>
  <c r="AA36" i="22" a="1"/>
  <c r="AA38" i="19" a="1"/>
  <c r="AA52" i="19" a="1"/>
  <c r="Z52" i="29" a="1"/>
  <c r="Z40" i="29" a="1"/>
  <c r="AA16" i="20" a="1"/>
  <c r="AA38" i="20" a="1"/>
  <c r="AA41" i="20" a="1"/>
  <c r="Z17" i="25" a="1"/>
  <c r="Z52" i="25" a="1"/>
  <c r="Z39" i="25" a="1"/>
  <c r="AA23" i="21" a="1"/>
  <c r="AA35" i="21" a="1"/>
  <c r="Z46" i="26" a="1"/>
  <c r="AA22" i="23" a="1"/>
  <c r="Z20" i="24" a="1"/>
  <c r="AA23" i="9" a="1"/>
  <c r="Z41" i="28" a="1"/>
  <c r="Z35" i="28" a="1"/>
  <c r="AA52" i="22" a="1"/>
  <c r="AA36" i="19" a="1"/>
  <c r="AA40" i="20" a="1"/>
  <c r="Z38" i="26" a="1"/>
  <c r="AA50" i="9" a="1"/>
  <c r="AA27" i="9" a="1"/>
  <c r="AA33" i="9" a="1"/>
  <c r="Z17" i="28" a="1"/>
  <c r="Z15" i="28" a="1"/>
  <c r="Z28" i="28" a="1"/>
  <c r="Z50" i="28" a="1"/>
  <c r="AA23" i="22" a="1"/>
  <c r="AA42" i="22" a="1"/>
  <c r="AA31" i="22" a="1"/>
  <c r="Z22" i="27" a="1"/>
  <c r="Z35" i="27" a="1"/>
  <c r="Z24" i="27" a="1"/>
  <c r="Z16" i="27" a="1"/>
  <c r="AA21" i="19" a="1"/>
  <c r="AA18" i="19" a="1"/>
  <c r="AA47" i="19" a="1"/>
  <c r="Z54" i="29" a="1"/>
  <c r="Z51" i="29" a="1"/>
  <c r="Z41" i="29" a="1"/>
  <c r="Z34" i="29" a="1"/>
  <c r="AA46" i="20" a="1"/>
  <c r="AA23" i="20" a="1"/>
  <c r="AA52" i="20" a="1"/>
  <c r="Z50" i="25" a="1"/>
  <c r="Z44" i="25" a="1"/>
  <c r="Z33" i="25" a="1"/>
  <c r="Z21" i="25" a="1"/>
  <c r="AA22" i="21" a="1"/>
  <c r="AA19" i="21" a="1"/>
  <c r="AA36" i="21" a="1"/>
  <c r="Z49" i="26" a="1"/>
  <c r="Z34" i="26" a="1"/>
  <c r="Z32" i="26" a="1"/>
  <c r="Z36" i="26" a="1"/>
  <c r="AA25" i="23" a="1"/>
  <c r="AA37" i="23" a="1"/>
  <c r="AA51" i="23" a="1"/>
  <c r="Z32" i="24" a="1"/>
  <c r="Z25" i="24" a="1"/>
  <c r="Z51" i="24" a="1"/>
  <c r="Z33" i="24" a="1"/>
  <c r="AA16" i="9" a="1"/>
  <c r="AA40" i="9" a="1"/>
  <c r="Z40" i="28" a="1"/>
  <c r="Z32" i="28" a="1"/>
  <c r="Z39" i="28" a="1"/>
  <c r="AA50" i="22" a="1"/>
  <c r="AA21" i="22" a="1"/>
  <c r="Z42" i="27" a="1"/>
  <c r="Z34" i="27" a="1"/>
  <c r="Z47" i="27" a="1"/>
  <c r="Z49" i="27" a="1"/>
  <c r="AA39" i="19" a="1"/>
  <c r="AA48" i="19" a="1"/>
  <c r="Z39" i="29" a="1"/>
  <c r="Z26" i="29" a="1"/>
  <c r="Z45" i="29" a="1"/>
  <c r="Z44" i="29" a="1"/>
  <c r="AA31" i="20" a="1"/>
  <c r="AA19" i="20" a="1"/>
  <c r="Z41" i="25" a="1"/>
  <c r="Z53" i="25" a="1"/>
  <c r="Z38" i="25" a="1"/>
  <c r="Z28" i="25" a="1"/>
  <c r="AA24" i="21" a="1"/>
  <c r="AA31" i="21" a="1"/>
  <c r="Z24" i="26" a="1"/>
  <c r="Z20" i="26" a="1"/>
  <c r="Z39" i="26" a="1"/>
  <c r="AA35" i="23" a="1"/>
  <c r="AA39" i="23" a="1"/>
  <c r="AA17" i="23" a="1"/>
  <c r="Z30" i="24" a="1"/>
  <c r="Z39" i="24" a="1"/>
  <c r="Z15" i="24" a="1"/>
  <c r="AA15" i="9" a="1"/>
  <c r="AA19" i="9" a="1"/>
  <c r="AA35" i="9" a="1"/>
  <c r="Z31" i="28" a="1"/>
  <c r="Z34" i="28" a="1"/>
  <c r="Z30" i="27" a="1"/>
  <c r="Z32" i="27" a="1"/>
  <c r="AA32" i="19" a="1"/>
  <c r="Z44" i="24" a="1"/>
  <c r="AA34" i="9" a="1"/>
  <c r="Z53" i="28" a="1"/>
  <c r="AA28" i="22" a="1"/>
  <c r="AA20" i="19" a="1"/>
  <c r="AA24" i="20" a="1"/>
  <c r="AA27" i="21" a="1"/>
  <c r="Z21" i="26" a="1"/>
  <c r="Z22" i="24" a="1"/>
  <c r="AA47" i="9" a="1"/>
  <c r="Z38" i="28" a="1"/>
  <c r="AA43" i="22" a="1"/>
  <c r="AA16" i="22" a="1"/>
  <c r="Z44" i="27" a="1"/>
  <c r="AA29" i="19" a="1"/>
  <c r="Z19" i="29" a="1"/>
  <c r="AA29" i="20" a="1"/>
  <c r="AA39" i="21" a="1"/>
  <c r="AA17" i="21" a="1"/>
  <c r="Z45" i="26" a="1"/>
  <c r="Z53" i="26" a="1"/>
  <c r="AA16" i="23" a="1"/>
  <c r="AA48" i="23" a="1"/>
  <c r="AA43" i="23" a="1"/>
  <c r="Z50" i="24" a="1"/>
  <c r="Z21" i="24" a="1"/>
  <c r="Z16" i="28" a="1"/>
  <c r="AA15" i="22" a="1"/>
  <c r="Z41" i="27" a="1"/>
  <c r="Z20" i="29" a="1"/>
  <c r="AA50" i="21" a="1"/>
  <c r="AA50" i="21" l="1"/>
  <c r="Z20" i="29"/>
  <c r="Z41" i="27"/>
  <c r="AA15" i="22"/>
  <c r="Z16" i="28"/>
  <c r="Z21" i="24"/>
  <c r="Z50" i="24"/>
  <c r="AA43" i="23"/>
  <c r="AA48" i="23"/>
  <c r="AA16" i="23"/>
  <c r="Z53" i="26"/>
  <c r="Z45" i="26"/>
  <c r="AA17" i="21"/>
  <c r="AA39" i="21"/>
  <c r="AA29" i="20"/>
  <c r="Z19" i="29"/>
  <c r="AA29" i="19"/>
  <c r="Z44" i="27"/>
  <c r="AA16" i="22"/>
  <c r="AA43" i="22"/>
  <c r="Z38" i="28"/>
  <c r="AA47" i="9"/>
  <c r="Z22" i="24"/>
  <c r="Z21" i="26"/>
  <c r="AA27" i="21"/>
  <c r="AA24" i="20"/>
  <c r="AA20" i="19"/>
  <c r="AA28" i="22"/>
  <c r="Z53" i="28"/>
  <c r="AA34" i="9"/>
  <c r="Z44" i="24"/>
  <c r="AA32" i="19"/>
  <c r="Z32" i="27"/>
  <c r="Z30" i="27"/>
  <c r="Z34" i="28"/>
  <c r="Z31" i="28"/>
  <c r="AA35" i="9"/>
  <c r="AA19" i="9"/>
  <c r="AA15" i="9"/>
  <c r="Z15" i="24"/>
  <c r="Z39" i="24"/>
  <c r="Z30" i="24"/>
  <c r="AA17" i="23"/>
  <c r="AA39" i="23"/>
  <c r="AA35" i="23"/>
  <c r="Z39" i="26"/>
  <c r="Z20" i="26"/>
  <c r="Z24" i="26"/>
  <c r="AA31" i="21"/>
  <c r="AA24" i="21"/>
  <c r="Z28" i="25"/>
  <c r="Z38" i="25"/>
  <c r="Z53" i="25"/>
  <c r="Z41" i="25"/>
  <c r="AA19" i="20"/>
  <c r="AA31" i="20"/>
  <c r="Z44" i="29"/>
  <c r="Z45" i="29"/>
  <c r="Z26" i="29"/>
  <c r="Z39" i="29"/>
  <c r="AA48" i="19"/>
  <c r="AA39" i="19"/>
  <c r="Z49" i="27"/>
  <c r="Z47" i="27"/>
  <c r="Z34" i="27"/>
  <c r="Z42" i="27"/>
  <c r="AA21" i="22"/>
  <c r="AA50" i="22"/>
  <c r="Z39" i="28"/>
  <c r="Z32" i="28"/>
  <c r="Z40" i="28"/>
  <c r="AA40" i="9"/>
  <c r="AA16" i="9"/>
  <c r="Z33" i="24"/>
  <c r="Z51" i="24"/>
  <c r="Z25" i="24"/>
  <c r="Z32" i="24"/>
  <c r="AA51" i="23"/>
  <c r="AA37" i="23"/>
  <c r="AA25" i="23"/>
  <c r="Z36" i="26"/>
  <c r="Z32" i="26"/>
  <c r="Z34" i="26"/>
  <c r="Z49" i="26"/>
  <c r="AA36" i="21"/>
  <c r="AA19" i="21"/>
  <c r="AA22" i="21"/>
  <c r="Z21" i="25"/>
  <c r="Z33" i="25"/>
  <c r="Z44" i="25"/>
  <c r="Z50" i="25"/>
  <c r="AA52" i="20"/>
  <c r="AA23" i="20"/>
  <c r="AA46" i="20"/>
  <c r="Z34" i="29"/>
  <c r="Z41" i="29"/>
  <c r="Z51" i="29"/>
  <c r="Z54" i="29"/>
  <c r="AA47" i="19"/>
  <c r="AA18" i="19"/>
  <c r="AA21" i="19"/>
  <c r="Z16" i="27"/>
  <c r="Z24" i="27"/>
  <c r="Z35" i="27"/>
  <c r="Z22" i="27"/>
  <c r="AA31" i="22"/>
  <c r="AA42" i="22"/>
  <c r="AA23" i="22"/>
  <c r="Z50" i="28"/>
  <c r="Z28" i="28"/>
  <c r="Z15" i="28"/>
  <c r="Z17" i="28"/>
  <c r="AA33" i="9"/>
  <c r="AA27" i="9"/>
  <c r="AA50" i="9"/>
  <c r="Z38" i="26"/>
  <c r="AA40" i="20"/>
  <c r="AA36" i="19"/>
  <c r="AA52" i="22"/>
  <c r="Z35" i="28"/>
  <c r="Z41" i="28"/>
  <c r="AA23" i="9"/>
  <c r="Z20" i="24"/>
  <c r="AA22" i="23"/>
  <c r="Z46" i="26"/>
  <c r="AA35" i="21"/>
  <c r="AA23" i="21"/>
  <c r="Z39" i="25"/>
  <c r="Z52" i="25"/>
  <c r="Z17" i="25"/>
  <c r="AA41" i="20"/>
  <c r="AA38" i="20"/>
  <c r="AA16" i="20"/>
  <c r="Z40" i="29"/>
  <c r="Z52" i="29"/>
  <c r="AA52" i="19"/>
  <c r="AA38" i="19"/>
  <c r="AA36" i="22"/>
  <c r="Z42" i="24"/>
  <c r="Z52" i="24"/>
  <c r="Z31" i="24"/>
  <c r="Z38" i="24"/>
  <c r="AA18" i="23"/>
  <c r="AA41" i="23"/>
  <c r="AA52" i="23"/>
  <c r="Z47" i="26"/>
  <c r="Z18" i="26"/>
  <c r="Z30" i="26"/>
  <c r="AA38" i="21"/>
  <c r="AA15" i="21"/>
  <c r="AA37" i="21"/>
  <c r="Z49" i="25"/>
  <c r="Z45" i="25"/>
  <c r="Z37" i="25"/>
  <c r="Z48" i="25"/>
  <c r="AA48" i="20"/>
  <c r="AA35" i="20"/>
  <c r="Z17" i="29"/>
  <c r="Z23" i="29"/>
  <c r="Z46" i="29"/>
  <c r="AA51" i="19"/>
  <c r="AA28" i="19"/>
  <c r="AA42" i="19"/>
  <c r="Z21" i="27"/>
  <c r="Z37" i="27"/>
  <c r="Z26" i="27"/>
  <c r="Z54" i="27"/>
  <c r="AA20" i="22"/>
  <c r="AA29" i="22"/>
  <c r="AA49" i="22"/>
  <c r="Z20" i="28"/>
  <c r="Z26" i="28"/>
  <c r="Z22" i="28"/>
  <c r="Z45" i="28"/>
  <c r="AA32" i="9"/>
  <c r="AA20" i="9"/>
  <c r="AA31" i="9"/>
  <c r="Z18" i="24"/>
  <c r="Z54" i="25"/>
  <c r="Z36" i="29"/>
  <c r="AA49" i="19"/>
  <c r="AA17" i="9"/>
  <c r="AA54" i="23"/>
  <c r="Z54" i="26"/>
  <c r="AA21" i="21"/>
  <c r="AA20" i="20"/>
  <c r="AA24" i="22"/>
  <c r="Z21" i="28"/>
  <c r="AA24" i="9"/>
  <c r="AA52" i="9"/>
  <c r="AA51" i="21"/>
  <c r="Z26" i="25"/>
  <c r="Z32" i="25"/>
  <c r="Z30" i="25"/>
  <c r="Z46" i="25"/>
  <c r="AA18" i="20"/>
  <c r="AA36" i="20"/>
  <c r="AA32" i="20"/>
  <c r="Z28" i="29"/>
  <c r="Z43" i="29"/>
  <c r="Z33" i="29"/>
  <c r="Z22" i="29"/>
  <c r="AA30" i="19"/>
  <c r="AA37" i="19"/>
  <c r="AA16" i="19"/>
  <c r="Z27" i="27"/>
  <c r="Z36" i="27"/>
  <c r="Z29" i="27"/>
  <c r="Z17" i="27"/>
  <c r="AA30" i="22"/>
  <c r="AA19" i="22"/>
  <c r="AA25" i="22"/>
  <c r="Z52" i="28"/>
  <c r="Z27" i="28"/>
  <c r="Z33" i="28"/>
  <c r="AA41" i="9"/>
  <c r="AA37" i="9"/>
  <c r="AA46" i="23"/>
  <c r="Z40" i="26"/>
  <c r="AA39" i="20"/>
  <c r="Z46" i="24"/>
  <c r="Z45" i="24"/>
  <c r="AA30" i="23"/>
  <c r="Z16" i="26"/>
  <c r="Z42" i="25"/>
  <c r="Z15" i="25"/>
  <c r="Z24" i="25"/>
  <c r="Z34" i="25"/>
  <c r="AA49" i="20"/>
  <c r="AA37" i="20"/>
  <c r="Z42" i="29"/>
  <c r="Z48" i="29"/>
  <c r="Z35" i="29"/>
  <c r="AA15" i="19"/>
  <c r="AA27" i="19"/>
  <c r="Z46" i="27"/>
  <c r="Z25" i="28"/>
  <c r="Z24" i="24"/>
  <c r="Z34" i="24"/>
  <c r="Z19" i="24"/>
  <c r="AA49" i="23"/>
  <c r="Z31" i="26"/>
  <c r="Z23" i="26"/>
  <c r="Z15" i="26"/>
  <c r="AA41" i="21"/>
  <c r="Z35" i="24"/>
  <c r="Z37" i="24"/>
  <c r="AA31" i="23"/>
  <c r="AA32" i="23"/>
  <c r="Z25" i="26"/>
  <c r="AA33" i="21"/>
  <c r="Z47" i="25"/>
  <c r="Z51" i="25"/>
  <c r="AA22" i="20"/>
  <c r="AA17" i="20"/>
  <c r="AA42" i="20"/>
  <c r="Z30" i="29"/>
  <c r="Z16" i="29"/>
  <c r="Z18" i="29"/>
  <c r="AA34" i="19"/>
  <c r="AA23" i="19"/>
  <c r="Z15" i="27"/>
  <c r="Z23" i="27"/>
  <c r="Z43" i="27"/>
  <c r="Z20" i="27"/>
  <c r="AA48" i="22"/>
  <c r="AA34" i="22"/>
  <c r="AA40" i="22"/>
  <c r="Z46" i="28"/>
  <c r="Z36" i="28"/>
  <c r="Z42" i="28"/>
  <c r="Z54" i="28"/>
  <c r="AA36" i="9"/>
  <c r="AA18" i="9"/>
  <c r="AA48" i="9"/>
  <c r="Z53" i="24"/>
  <c r="AA23" i="23"/>
  <c r="Z36" i="25"/>
  <c r="AA43" i="19"/>
  <c r="Z54" i="24"/>
  <c r="Z28" i="24"/>
  <c r="AA19" i="23"/>
  <c r="Z42" i="26"/>
  <c r="Z52" i="26"/>
  <c r="AA48" i="21"/>
  <c r="Z29" i="29"/>
  <c r="AA24" i="19"/>
  <c r="Z38" i="27"/>
  <c r="Z45" i="27"/>
  <c r="Z39" i="27"/>
  <c r="AA54" i="22"/>
  <c r="Z37" i="28"/>
  <c r="Z49" i="28"/>
  <c r="Z23" i="24"/>
  <c r="AA50" i="23"/>
  <c r="AA20" i="23"/>
  <c r="Z41" i="26"/>
  <c r="AA40" i="21"/>
  <c r="Z16" i="24"/>
  <c r="AA42" i="23"/>
  <c r="Z33" i="26"/>
  <c r="Z19" i="26"/>
  <c r="AA42" i="21"/>
  <c r="AA30" i="21"/>
  <c r="Z40" i="25"/>
  <c r="Z31" i="25"/>
  <c r="Z47" i="24"/>
  <c r="Z43" i="24"/>
  <c r="Z17" i="24"/>
  <c r="AA34" i="23"/>
  <c r="AA29" i="23"/>
  <c r="AA24" i="23"/>
  <c r="AA28" i="23"/>
  <c r="Z37" i="26"/>
  <c r="Z44" i="26"/>
  <c r="Z51" i="26"/>
  <c r="AA54" i="21"/>
  <c r="AA47" i="21"/>
  <c r="AA49" i="21"/>
  <c r="Z20" i="25"/>
  <c r="Z29" i="25"/>
  <c r="AA45" i="20"/>
  <c r="AA34" i="20"/>
  <c r="AA21" i="20"/>
  <c r="AA30" i="20"/>
  <c r="Z21" i="29"/>
  <c r="Z47" i="29"/>
  <c r="Z27" i="29"/>
  <c r="AA40" i="19"/>
  <c r="AA31" i="19"/>
  <c r="AA44" i="19"/>
  <c r="Z25" i="27"/>
  <c r="Z19" i="27"/>
  <c r="Z53" i="27"/>
  <c r="AA38" i="22"/>
  <c r="AA51" i="22"/>
  <c r="AA47" i="22"/>
  <c r="AA46" i="22"/>
  <c r="Z19" i="28"/>
  <c r="Z18" i="28"/>
  <c r="AA51" i="9"/>
  <c r="AA22" i="9"/>
  <c r="AA38" i="9"/>
  <c r="AA42" i="9"/>
  <c r="AA27" i="23"/>
  <c r="AA43" i="21"/>
  <c r="AA25" i="20"/>
  <c r="Z37" i="29"/>
  <c r="AA53" i="22"/>
  <c r="AA30" i="9"/>
  <c r="Z41" i="24"/>
  <c r="Z49" i="24"/>
  <c r="Z26" i="24"/>
  <c r="AA33" i="23"/>
  <c r="AA26" i="23"/>
  <c r="AA45" i="23"/>
  <c r="Z26" i="26"/>
  <c r="Z27" i="26"/>
  <c r="Z29" i="26"/>
  <c r="AA20" i="21"/>
  <c r="AA18" i="21"/>
  <c r="AA45" i="21"/>
  <c r="AA25" i="21"/>
  <c r="Z25" i="25"/>
  <c r="Z35" i="25"/>
  <c r="Z32" i="29"/>
  <c r="Z40" i="24"/>
  <c r="Z29" i="24"/>
  <c r="AA40" i="23"/>
  <c r="AA21" i="23"/>
  <c r="Z28" i="26"/>
  <c r="Z48" i="26"/>
  <c r="Z35" i="26"/>
  <c r="AA46" i="21"/>
  <c r="AA28" i="21"/>
  <c r="AA26" i="21"/>
  <c r="AA44" i="21"/>
  <c r="Z16" i="25"/>
  <c r="Z27" i="25"/>
  <c r="Z19" i="25"/>
  <c r="AA15" i="20"/>
  <c r="AA53" i="20"/>
  <c r="AA28" i="20"/>
  <c r="AA51" i="20"/>
  <c r="Z31" i="29"/>
  <c r="Z15" i="29"/>
  <c r="Z50" i="29"/>
  <c r="AA54" i="19"/>
  <c r="AA25" i="19"/>
  <c r="AA22" i="19"/>
  <c r="AA26" i="19"/>
  <c r="Z52" i="27"/>
  <c r="Z51" i="27"/>
  <c r="Z31" i="27"/>
  <c r="AA17" i="22"/>
  <c r="AA39" i="22"/>
  <c r="AA32" i="22"/>
  <c r="AA33" i="22"/>
  <c r="Z51" i="28"/>
  <c r="Z29" i="28"/>
  <c r="Z48" i="28"/>
  <c r="AA26" i="9"/>
  <c r="AA39" i="9"/>
  <c r="AA28" i="9"/>
  <c r="AA53" i="9"/>
  <c r="AA29" i="21"/>
  <c r="Z23" i="25"/>
  <c r="AA47" i="20"/>
  <c r="AA27" i="20"/>
  <c r="AA44" i="20"/>
  <c r="Z49" i="29"/>
  <c r="Z24" i="29"/>
  <c r="AA46" i="19"/>
  <c r="AA33" i="19"/>
  <c r="AA41" i="19"/>
  <c r="AA17" i="19"/>
  <c r="Z48" i="27"/>
  <c r="Z18" i="27"/>
  <c r="AA45" i="22"/>
  <c r="AA44" i="22"/>
  <c r="AA37" i="22"/>
  <c r="AA41" i="22"/>
  <c r="Z47" i="28"/>
  <c r="Z43" i="28"/>
  <c r="Z30" i="28"/>
  <c r="AA45" i="9"/>
  <c r="AA25" i="9"/>
  <c r="AA29" i="9"/>
  <c r="AA44" i="9"/>
  <c r="Z48" i="24"/>
  <c r="AA44" i="23"/>
  <c r="AA38" i="23"/>
  <c r="Z27" i="24"/>
  <c r="Z36" i="24"/>
  <c r="AA53" i="23"/>
  <c r="AA36" i="23"/>
  <c r="AA47" i="23"/>
  <c r="AA15" i="23"/>
  <c r="Z22" i="26"/>
  <c r="Z50" i="26"/>
  <c r="Z17" i="26"/>
  <c r="AA52" i="21"/>
  <c r="AA16" i="21"/>
  <c r="AA32" i="21"/>
  <c r="AA34" i="21"/>
  <c r="Z18" i="25"/>
  <c r="Z43" i="25"/>
  <c r="Z22" i="25"/>
  <c r="AA43" i="20"/>
  <c r="AA50" i="20"/>
  <c r="AA54" i="20"/>
  <c r="AA33" i="20"/>
  <c r="Z38" i="29"/>
  <c r="Z53" i="29"/>
  <c r="Z25" i="29"/>
  <c r="AA50" i="19"/>
  <c r="AA53" i="19"/>
  <c r="AA35" i="19"/>
  <c r="AA45" i="19"/>
  <c r="Z50" i="27"/>
  <c r="Z40" i="27"/>
  <c r="Z33" i="27"/>
  <c r="AA22" i="22"/>
  <c r="AA27" i="22"/>
  <c r="AA18" i="22"/>
  <c r="AA26" i="22"/>
  <c r="Z44" i="28"/>
  <c r="Z24" i="28"/>
  <c r="Z23" i="28"/>
  <c r="AA49" i="9"/>
  <c r="AA21" i="9"/>
  <c r="AA43" i="9"/>
  <c r="AA54" i="9"/>
  <c r="Z43" i="26"/>
  <c r="AA26" i="20"/>
  <c r="AA19" i="19"/>
  <c r="Z28" i="27"/>
  <c r="AA35" i="22"/>
  <c r="AA46" i="9"/>
  <c r="AA53" i="21"/>
  <c r="AC11" i="22"/>
  <c r="AB12" i="22"/>
  <c r="AC11" i="23"/>
  <c r="AB12" i="23"/>
  <c r="AB11" i="26"/>
  <c r="AA12" i="26"/>
  <c r="AB11" i="29"/>
  <c r="AA12" i="29"/>
  <c r="AB12" i="9"/>
  <c r="AC11" i="9"/>
  <c r="AB12" i="21"/>
  <c r="AC11" i="21"/>
  <c r="AB11" i="24"/>
  <c r="AA12" i="24"/>
  <c r="AC11" i="19"/>
  <c r="AB12" i="19"/>
  <c r="AA12" i="28"/>
  <c r="AB11" i="28"/>
  <c r="AC11" i="20"/>
  <c r="AB12" i="20"/>
  <c r="AA12" i="27"/>
  <c r="AB11" i="27"/>
  <c r="AA12" i="25"/>
  <c r="AB11" i="25"/>
  <c r="AB51" i="22" a="1"/>
  <c r="AB49" i="23" a="1"/>
  <c r="AB17" i="23" a="1"/>
  <c r="AA40" i="26" a="1"/>
  <c r="AA15" i="29" a="1"/>
  <c r="AB32" i="9" a="1"/>
  <c r="AB42" i="21" a="1"/>
  <c r="AB52" i="21" a="1"/>
  <c r="AA43" i="24" a="1"/>
  <c r="AA38" i="28" a="1"/>
  <c r="AA15" i="27" a="1"/>
  <c r="AB30" i="22" a="1"/>
  <c r="AB38" i="22" a="1"/>
  <c r="AB24" i="22" a="1"/>
  <c r="AB17" i="22" a="1"/>
  <c r="AB15" i="23" a="1"/>
  <c r="AB37" i="23" a="1"/>
  <c r="AB35" i="23" a="1"/>
  <c r="AA50" i="26" a="1"/>
  <c r="AA37" i="26" a="1"/>
  <c r="AA38" i="26" a="1"/>
  <c r="AA36" i="26" a="1"/>
  <c r="AA21" i="29" a="1"/>
  <c r="AA35" i="29" a="1"/>
  <c r="AA45" i="29" a="1"/>
  <c r="AB17" i="9" a="1"/>
  <c r="AB51" i="9" a="1"/>
  <c r="AB41" i="9" a="1"/>
  <c r="AB16" i="21" a="1"/>
  <c r="AB30" i="21" a="1"/>
  <c r="AB36" i="21" a="1"/>
  <c r="AA22" i="24" a="1"/>
  <c r="AA44" i="24" a="1"/>
  <c r="AA38" i="24" a="1"/>
  <c r="AA21" i="24" a="1"/>
  <c r="AB28" i="19" a="1"/>
  <c r="AB25" i="19" a="1"/>
  <c r="AB33" i="19" a="1"/>
  <c r="AA41" i="28" a="1"/>
  <c r="AA52" i="28" a="1"/>
  <c r="AA21" i="28" a="1"/>
  <c r="AA50" i="28" a="1"/>
  <c r="AB35" i="20" a="1"/>
  <c r="AB36" i="20" a="1"/>
  <c r="AB27" i="20" a="1"/>
  <c r="AA40" i="27" a="1"/>
  <c r="AA28" i="25" a="1"/>
  <c r="AB48" i="22" a="1"/>
  <c r="AB25" i="22" a="1"/>
  <c r="AB27" i="23" a="1"/>
  <c r="AA25" i="26" a="1"/>
  <c r="AB28" i="9" a="1"/>
  <c r="AB32" i="21" a="1"/>
  <c r="AA49" i="24" a="1"/>
  <c r="AA16" i="24" a="1"/>
  <c r="AA45" i="24" a="1"/>
  <c r="AB36" i="19" a="1"/>
  <c r="AB22" i="19" a="1"/>
  <c r="AB23" i="19" a="1"/>
  <c r="AB54" i="20" a="1"/>
  <c r="AA51" i="27" a="1"/>
  <c r="AB41" i="22" a="1"/>
  <c r="AB46" i="22" a="1"/>
  <c r="AB32" i="22" a="1"/>
  <c r="AB52" i="22" a="1"/>
  <c r="AB50" i="23" a="1"/>
  <c r="AB38" i="23" a="1"/>
  <c r="AA16" i="26" a="1"/>
  <c r="AA52" i="26" a="1"/>
  <c r="AA20" i="26" a="1"/>
  <c r="AA52" i="29" a="1"/>
  <c r="AA32" i="29" a="1"/>
  <c r="AA16" i="29" a="1"/>
  <c r="AB27" i="9" a="1"/>
  <c r="AB18" i="9" a="1"/>
  <c r="AB24" i="9" a="1"/>
  <c r="AB29" i="9" a="1"/>
  <c r="AB53" i="21" a="1"/>
  <c r="AB25" i="21" a="1"/>
  <c r="AB28" i="21" a="1"/>
  <c r="AA15" i="24" a="1"/>
  <c r="AA31" i="24" a="1"/>
  <c r="AA48" i="24" a="1"/>
  <c r="AB35" i="19" a="1"/>
  <c r="AB44" i="19" a="1"/>
  <c r="AB40" i="19" a="1"/>
  <c r="AA46" i="28" a="1"/>
  <c r="AA53" i="28" a="1"/>
  <c r="AA39" i="28" a="1"/>
  <c r="AA31" i="28" a="1"/>
  <c r="AB41" i="20" a="1"/>
  <c r="AB24" i="20" a="1"/>
  <c r="AB37" i="20" a="1"/>
  <c r="AA53" i="27" a="1"/>
  <c r="AA43" i="27" a="1"/>
  <c r="AA52" i="27" a="1"/>
  <c r="AA37" i="27" a="1"/>
  <c r="AA46" i="25" a="1"/>
  <c r="AA37" i="25" a="1"/>
  <c r="AA29" i="25" a="1"/>
  <c r="AB20" i="22" a="1"/>
  <c r="AB54" i="22" a="1"/>
  <c r="AB27" i="22" a="1"/>
  <c r="AB15" i="22" a="1"/>
  <c r="AB46" i="23" a="1"/>
  <c r="AB20" i="23" a="1"/>
  <c r="AA23" i="26" a="1"/>
  <c r="AA31" i="26" a="1"/>
  <c r="AA19" i="26" a="1"/>
  <c r="AA39" i="29" a="1"/>
  <c r="AA23" i="29" a="1"/>
  <c r="AA22" i="29" a="1"/>
  <c r="AB19" i="9" a="1"/>
  <c r="AB54" i="9" a="1"/>
  <c r="AB43" i="9" a="1"/>
  <c r="AB30" i="9" a="1"/>
  <c r="AB21" i="21" a="1"/>
  <c r="AB35" i="21" a="1"/>
  <c r="AA19" i="24" a="1"/>
  <c r="AA42" i="24" a="1"/>
  <c r="AA41" i="24" a="1"/>
  <c r="AA23" i="24" a="1"/>
  <c r="AB52" i="19" a="1"/>
  <c r="AB43" i="19" a="1"/>
  <c r="AA18" i="28" a="1"/>
  <c r="AA43" i="28" a="1"/>
  <c r="AA16" i="28" a="1"/>
  <c r="AB26" i="20" a="1"/>
  <c r="AB40" i="23" a="1"/>
  <c r="AA47" i="26" a="1"/>
  <c r="AB47" i="21" a="1"/>
  <c r="AB45" i="19" a="1"/>
  <c r="AA23" i="28" a="1"/>
  <c r="AB52" i="20" a="1"/>
  <c r="AA15" i="25" a="1"/>
  <c r="AB45" i="22" a="1"/>
  <c r="AB36" i="22" a="1"/>
  <c r="AB18" i="22" a="1"/>
  <c r="AB42" i="22" a="1"/>
  <c r="AB22" i="23" a="1"/>
  <c r="AB33" i="23" a="1"/>
  <c r="AB42" i="23" a="1"/>
  <c r="AA41" i="26" a="1"/>
  <c r="AA30" i="26" a="1"/>
  <c r="AA33" i="26" a="1"/>
  <c r="AA54" i="26" a="1"/>
  <c r="AA46" i="29" a="1"/>
  <c r="AA34" i="29" a="1"/>
  <c r="AA24" i="29" a="1"/>
  <c r="AB53" i="9" a="1"/>
  <c r="AB40" i="9" a="1"/>
  <c r="AB46" i="9" a="1"/>
  <c r="AB54" i="21" a="1"/>
  <c r="AB23" i="21" a="1"/>
  <c r="AB33" i="21" a="1"/>
  <c r="AA36" i="24" a="1"/>
  <c r="AA46" i="24" a="1"/>
  <c r="AA54" i="24" a="1"/>
  <c r="AA52" i="24" a="1"/>
  <c r="AB41" i="19" a="1"/>
  <c r="AB50" i="19" a="1"/>
  <c r="AB15" i="19" a="1"/>
  <c r="AA35" i="28" a="1"/>
  <c r="AA26" i="28" a="1"/>
  <c r="AA36" i="28" a="1"/>
  <c r="AA15" i="28" a="1"/>
  <c r="AB21" i="20" a="1"/>
  <c r="AB44" i="20" a="1"/>
  <c r="AB18" i="20" a="1"/>
  <c r="AA22" i="27" a="1"/>
  <c r="AA24" i="27" a="1"/>
  <c r="AA18" i="27" a="1"/>
  <c r="AA30" i="27" a="1"/>
  <c r="AA49" i="25" a="1"/>
  <c r="AA25" i="25" a="1"/>
  <c r="AA33" i="25" a="1"/>
  <c r="AB23" i="22" a="1"/>
  <c r="AB35" i="22" a="1"/>
  <c r="AB28" i="22" a="1"/>
  <c r="AB18" i="23" a="1"/>
  <c r="AB30" i="23" a="1"/>
  <c r="AB54" i="23" a="1"/>
  <c r="AA51" i="26" a="1"/>
  <c r="AA43" i="26" a="1"/>
  <c r="AA44" i="26" a="1"/>
  <c r="AA54" i="29" a="1"/>
  <c r="AA37" i="29" a="1"/>
  <c r="AA29" i="29" a="1"/>
  <c r="AB25" i="9" a="1"/>
  <c r="AB38" i="9" a="1"/>
  <c r="AB18" i="21" a="1"/>
  <c r="AB39" i="21" a="1"/>
  <c r="AB34" i="21" a="1"/>
  <c r="AA17" i="24" a="1"/>
  <c r="AA24" i="24" a="1"/>
  <c r="AA51" i="24" a="1"/>
  <c r="AB47" i="19" a="1"/>
  <c r="AB32" i="19" a="1"/>
  <c r="AB26" i="19" a="1"/>
  <c r="AB30" i="19" a="1"/>
  <c r="AA34" i="28" a="1"/>
  <c r="AB25" i="20" a="1"/>
  <c r="AB16" i="20" a="1"/>
  <c r="AA35" i="27" a="1"/>
  <c r="AA39" i="27" a="1"/>
  <c r="AA40" i="25" a="1"/>
  <c r="AA53" i="25" a="1"/>
  <c r="AA31" i="25" a="1"/>
  <c r="AA49" i="26" a="1"/>
  <c r="AA30" i="29" a="1"/>
  <c r="AA18" i="29" a="1"/>
  <c r="AA48" i="29" a="1"/>
  <c r="AB50" i="9" a="1"/>
  <c r="AB20" i="9" a="1"/>
  <c r="AB40" i="21" a="1"/>
  <c r="AB53" i="22" a="1"/>
  <c r="AB50" i="22" a="1"/>
  <c r="AB39" i="22" a="1"/>
  <c r="AB44" i="23" a="1"/>
  <c r="AB51" i="23" a="1"/>
  <c r="AB19" i="23" a="1"/>
  <c r="AB23" i="23" a="1"/>
  <c r="AA27" i="26" a="1"/>
  <c r="AA15" i="26" a="1"/>
  <c r="AA34" i="26" a="1"/>
  <c r="AA26" i="29" a="1"/>
  <c r="AA40" i="29" a="1"/>
  <c r="AA47" i="29" a="1"/>
  <c r="AB26" i="9" a="1"/>
  <c r="AB21" i="9" a="1"/>
  <c r="AB42" i="9" a="1"/>
  <c r="AB45" i="21" a="1"/>
  <c r="AB19" i="21" a="1"/>
  <c r="AB31" i="21" a="1"/>
  <c r="AB46" i="21" a="1"/>
  <c r="AA33" i="24" a="1"/>
  <c r="AA37" i="24" a="1"/>
  <c r="AA28" i="24" a="1"/>
  <c r="AB29" i="19" a="1"/>
  <c r="AB27" i="19" a="1"/>
  <c r="AB21" i="19" a="1"/>
  <c r="AA20" i="28" a="1"/>
  <c r="AA42" i="28" a="1"/>
  <c r="AA24" i="28" a="1"/>
  <c r="AB38" i="20" a="1"/>
  <c r="AB39" i="20" a="1"/>
  <c r="AB50" i="20" a="1"/>
  <c r="AB42" i="20" a="1"/>
  <c r="AA32" i="27" a="1"/>
  <c r="AA44" i="27" a="1"/>
  <c r="AA36" i="27" a="1"/>
  <c r="AA43" i="25" a="1"/>
  <c r="AA19" i="25" a="1"/>
  <c r="AA32" i="25" a="1"/>
  <c r="AA34" i="25" a="1"/>
  <c r="AB21" i="23" a="1"/>
  <c r="AA27" i="29" a="1"/>
  <c r="AB16" i="9" a="1"/>
  <c r="AA51" i="28" a="1"/>
  <c r="AA22" i="28" a="1"/>
  <c r="AB19" i="20" a="1"/>
  <c r="AB31" i="20" a="1"/>
  <c r="AA23" i="27" a="1"/>
  <c r="AA47" i="25" a="1"/>
  <c r="AB49" i="21" a="1"/>
  <c r="AA40" i="24" a="1"/>
  <c r="AA30" i="24" a="1"/>
  <c r="AB37" i="19" a="1"/>
  <c r="AB51" i="19" a="1"/>
  <c r="AA30" i="28" a="1"/>
  <c r="AB46" i="20" a="1"/>
  <c r="AA48" i="27" a="1"/>
  <c r="AA41" i="25" a="1"/>
  <c r="AA26" i="25" a="1"/>
  <c r="AA21" i="25" a="1"/>
  <c r="AA17" i="28" a="1"/>
  <c r="AB49" i="20" a="1"/>
  <c r="AA29" i="27" a="1"/>
  <c r="AA52" i="25" a="1"/>
  <c r="AA16" i="27" a="1"/>
  <c r="AA18" i="25" a="1"/>
  <c r="AA41" i="27" a="1"/>
  <c r="AA54" i="27" a="1"/>
  <c r="AB32" i="20" a="1"/>
  <c r="AA42" i="27" a="1"/>
  <c r="AB22" i="22" a="1"/>
  <c r="AB33" i="22" a="1"/>
  <c r="AB39" i="23" a="1"/>
  <c r="AB45" i="23" a="1"/>
  <c r="AB29" i="23" a="1"/>
  <c r="AB53" i="23" a="1"/>
  <c r="AA48" i="26" a="1"/>
  <c r="AA28" i="26" a="1"/>
  <c r="AA17" i="26" a="1"/>
  <c r="AA31" i="29" a="1"/>
  <c r="AA36" i="29" a="1"/>
  <c r="AA49" i="29" a="1"/>
  <c r="AA20" i="29" a="1"/>
  <c r="AB37" i="9" a="1"/>
  <c r="AB23" i="9" a="1"/>
  <c r="AB35" i="9" a="1"/>
  <c r="AB44" i="21" a="1"/>
  <c r="AB48" i="21" a="1"/>
  <c r="AB29" i="21" a="1"/>
  <c r="AB37" i="21" a="1"/>
  <c r="AA34" i="24" a="1"/>
  <c r="AA47" i="24" a="1"/>
  <c r="AA50" i="24" a="1"/>
  <c r="AB17" i="19" a="1"/>
  <c r="AB46" i="19" a="1"/>
  <c r="AB31" i="19" a="1"/>
  <c r="AB34" i="19" a="1"/>
  <c r="AA28" i="28" a="1"/>
  <c r="AA25" i="28" a="1"/>
  <c r="AA33" i="28" a="1"/>
  <c r="AB43" i="20" a="1"/>
  <c r="AB30" i="20" a="1"/>
  <c r="AB29" i="20" a="1"/>
  <c r="AB40" i="20" a="1"/>
  <c r="AA45" i="27" a="1"/>
  <c r="AA50" i="27" a="1"/>
  <c r="AA46" i="27" a="1"/>
  <c r="AA50" i="25" a="1"/>
  <c r="AA39" i="25" a="1"/>
  <c r="AA30" i="25" a="1"/>
  <c r="AA16" i="25" a="1"/>
  <c r="AB47" i="22" a="1"/>
  <c r="AB19" i="22" a="1"/>
  <c r="AB16" i="22" a="1"/>
  <c r="AB52" i="23" a="1"/>
  <c r="AB26" i="23" a="1"/>
  <c r="AB16" i="23" a="1"/>
  <c r="AA24" i="26" a="1"/>
  <c r="AA17" i="29" a="1"/>
  <c r="AB33" i="9" a="1"/>
  <c r="AB15" i="21" a="1"/>
  <c r="AB54" i="19" a="1"/>
  <c r="AB18" i="19" a="1"/>
  <c r="AA29" i="28" a="1"/>
  <c r="AA48" i="28" a="1"/>
  <c r="AB33" i="20" a="1"/>
  <c r="AA38" i="27" a="1"/>
  <c r="AB31" i="22" a="1"/>
  <c r="AB26" i="22" a="1"/>
  <c r="AB49" i="22" a="1"/>
  <c r="AB32" i="23" a="1"/>
  <c r="AB41" i="23" a="1"/>
  <c r="AB47" i="23" a="1"/>
  <c r="AB43" i="23" a="1"/>
  <c r="AA45" i="26" a="1"/>
  <c r="AA39" i="26" a="1"/>
  <c r="AA18" i="26" a="1"/>
  <c r="AA44" i="29" a="1"/>
  <c r="AA28" i="29" a="1"/>
  <c r="AA51" i="29" a="1"/>
  <c r="AA50" i="29" a="1"/>
  <c r="AB52" i="9" a="1"/>
  <c r="AB22" i="9" a="1"/>
  <c r="AB34" i="9" a="1"/>
  <c r="AB17" i="21" a="1"/>
  <c r="AB22" i="21" a="1"/>
  <c r="AB41" i="21" a="1"/>
  <c r="AB27" i="21" a="1"/>
  <c r="AA32" i="24" a="1"/>
  <c r="AA20" i="24" a="1"/>
  <c r="AA35" i="24" a="1"/>
  <c r="AB20" i="19" a="1"/>
  <c r="AB19" i="19" a="1"/>
  <c r="AB16" i="19" a="1"/>
  <c r="AA54" i="28" a="1"/>
  <c r="AA32" i="28" a="1"/>
  <c r="AB45" i="20" a="1"/>
  <c r="AB17" i="20" a="1"/>
  <c r="AB20" i="20" a="1"/>
  <c r="AB48" i="20" a="1"/>
  <c r="AA21" i="27" a="1"/>
  <c r="AA26" i="27" a="1"/>
  <c r="AA34" i="27" a="1"/>
  <c r="AA48" i="25" a="1"/>
  <c r="AA35" i="25" a="1"/>
  <c r="AA38" i="25" a="1"/>
  <c r="AA17" i="25" a="1"/>
  <c r="AA25" i="24" a="1"/>
  <c r="AB48" i="19" a="1"/>
  <c r="AB24" i="19" a="1"/>
  <c r="AB53" i="19" a="1"/>
  <c r="AA49" i="28" a="1"/>
  <c r="AA37" i="28" a="1"/>
  <c r="AB51" i="20" a="1"/>
  <c r="AB53" i="20" a="1"/>
  <c r="AB23" i="20" a="1"/>
  <c r="AA31" i="27" a="1"/>
  <c r="AA49" i="27" a="1"/>
  <c r="AA47" i="27" a="1"/>
  <c r="AA27" i="25" a="1"/>
  <c r="AA24" i="25" a="1"/>
  <c r="AA20" i="25" a="1"/>
  <c r="AB37" i="22" a="1"/>
  <c r="AA25" i="29" a="1"/>
  <c r="AA29" i="24" a="1"/>
  <c r="AA27" i="24" a="1"/>
  <c r="AB39" i="19" a="1"/>
  <c r="AB38" i="19" a="1"/>
  <c r="AA27" i="28" a="1"/>
  <c r="AA40" i="28" a="1"/>
  <c r="AB22" i="20" a="1"/>
  <c r="AB47" i="20" a="1"/>
  <c r="AA17" i="27" a="1"/>
  <c r="AA22" i="25" a="1"/>
  <c r="AA27" i="27" a="1"/>
  <c r="AA23" i="25" a="1"/>
  <c r="AB29" i="22" a="1"/>
  <c r="AB40" i="22" a="1"/>
  <c r="AB25" i="23" a="1"/>
  <c r="AA46" i="26" a="1"/>
  <c r="AB31" i="9" a="1"/>
  <c r="AB43" i="21" a="1"/>
  <c r="AA53" i="24" a="1"/>
  <c r="AA47" i="28" a="1"/>
  <c r="AB28" i="20" a="1"/>
  <c r="AA51" i="25" a="1"/>
  <c r="AA19" i="27" a="1"/>
  <c r="AB44" i="22" a="1"/>
  <c r="AB43" i="22" a="1"/>
  <c r="AB34" i="22" a="1"/>
  <c r="AB36" i="23" a="1"/>
  <c r="AB24" i="23" a="1"/>
  <c r="AB34" i="23" a="1"/>
  <c r="AB31" i="23" a="1"/>
  <c r="AA26" i="26" a="1"/>
  <c r="AA35" i="26" a="1"/>
  <c r="AA53" i="26" a="1"/>
  <c r="AA42" i="29" a="1"/>
  <c r="AA19" i="29" a="1"/>
  <c r="AA43" i="29" a="1"/>
  <c r="AB39" i="9" a="1"/>
  <c r="AB47" i="9" a="1"/>
  <c r="AB45" i="9" a="1"/>
  <c r="AB20" i="21" a="1"/>
  <c r="AB24" i="21" a="1"/>
  <c r="AB26" i="21" a="1"/>
  <c r="AB50" i="21" a="1"/>
  <c r="AA26" i="24" a="1"/>
  <c r="AA39" i="24" a="1"/>
  <c r="AB49" i="19" a="1"/>
  <c r="AA44" i="28" a="1"/>
  <c r="AB15" i="20" a="1"/>
  <c r="AA45" i="25" a="1"/>
  <c r="AB21" i="22" a="1"/>
  <c r="AB48" i="23" a="1"/>
  <c r="AA21" i="26" a="1"/>
  <c r="AA42" i="26" a="1"/>
  <c r="AA32" i="26" a="1"/>
  <c r="AA41" i="29" a="1"/>
  <c r="AB15" i="9" a="1"/>
  <c r="AB44" i="9" a="1"/>
  <c r="AB49" i="9" a="1"/>
  <c r="AB38" i="21" a="1"/>
  <c r="AA18" i="24" a="1"/>
  <c r="AB42" i="19" a="1"/>
  <c r="AA19" i="28" a="1"/>
  <c r="AB34" i="20" a="1"/>
  <c r="AA33" i="27" a="1"/>
  <c r="AA54" i="25" a="1"/>
  <c r="AA25" i="27" a="1"/>
  <c r="AA28" i="27" a="1"/>
  <c r="AA42" i="25" a="1"/>
  <c r="AB28" i="23" a="1"/>
  <c r="AA22" i="26" a="1"/>
  <c r="AA29" i="26" a="1"/>
  <c r="AA53" i="29" a="1"/>
  <c r="AA38" i="29" a="1"/>
  <c r="AA33" i="29" a="1"/>
  <c r="AB36" i="9" a="1"/>
  <c r="AB48" i="9" a="1"/>
  <c r="AB51" i="21" a="1"/>
  <c r="AA45" i="28" a="1"/>
  <c r="AA20" i="27" a="1"/>
  <c r="AA44" i="25" a="1"/>
  <c r="AA36" i="25" a="1"/>
  <c r="AA36" i="25" l="1"/>
  <c r="AA44" i="25"/>
  <c r="AA20" i="27"/>
  <c r="AA45" i="28"/>
  <c r="AB51" i="21"/>
  <c r="AB48" i="9"/>
  <c r="AB36" i="9"/>
  <c r="AA33" i="29"/>
  <c r="AA38" i="29"/>
  <c r="AA53" i="29"/>
  <c r="AA29" i="26"/>
  <c r="AA22" i="26"/>
  <c r="AB28" i="23"/>
  <c r="AA42" i="25"/>
  <c r="AA28" i="27"/>
  <c r="AA25" i="27"/>
  <c r="AA54" i="25"/>
  <c r="AA33" i="27"/>
  <c r="AB34" i="20"/>
  <c r="AA19" i="28"/>
  <c r="AB42" i="19"/>
  <c r="AA18" i="24"/>
  <c r="AB38" i="21"/>
  <c r="AB49" i="9"/>
  <c r="AB44" i="9"/>
  <c r="AB15" i="9"/>
  <c r="AA41" i="29"/>
  <c r="AA32" i="26"/>
  <c r="AA42" i="26"/>
  <c r="AA21" i="26"/>
  <c r="AB48" i="23"/>
  <c r="AB21" i="22"/>
  <c r="AA45" i="25"/>
  <c r="AB15" i="20"/>
  <c r="AA44" i="28"/>
  <c r="AB49" i="19"/>
  <c r="AA39" i="24"/>
  <c r="AA26" i="24"/>
  <c r="AB50" i="21"/>
  <c r="AB26" i="21"/>
  <c r="AB24" i="21"/>
  <c r="AB20" i="21"/>
  <c r="AB45" i="9"/>
  <c r="AB47" i="9"/>
  <c r="AB39" i="9"/>
  <c r="AA43" i="29"/>
  <c r="AA19" i="29"/>
  <c r="AA42" i="29"/>
  <c r="AA53" i="26"/>
  <c r="AA35" i="26"/>
  <c r="AA26" i="26"/>
  <c r="AB31" i="23"/>
  <c r="AB34" i="23"/>
  <c r="AB24" i="23"/>
  <c r="AB36" i="23"/>
  <c r="AB34" i="22"/>
  <c r="AB43" i="22"/>
  <c r="AB44" i="22"/>
  <c r="AA19" i="27"/>
  <c r="AA51" i="25"/>
  <c r="AB28" i="20"/>
  <c r="AA47" i="28"/>
  <c r="AA53" i="24"/>
  <c r="AB43" i="21"/>
  <c r="AB31" i="9"/>
  <c r="AA46" i="26"/>
  <c r="AB25" i="23"/>
  <c r="AB40" i="22"/>
  <c r="AB29" i="22"/>
  <c r="AA23" i="25"/>
  <c r="AA27" i="27"/>
  <c r="AA22" i="25"/>
  <c r="AA17" i="27"/>
  <c r="AB47" i="20"/>
  <c r="AB22" i="20"/>
  <c r="AA40" i="28"/>
  <c r="AA27" i="28"/>
  <c r="AB38" i="19"/>
  <c r="AB39" i="19"/>
  <c r="AA27" i="24"/>
  <c r="AA29" i="24"/>
  <c r="AA25" i="29"/>
  <c r="AB37" i="22"/>
  <c r="AA20" i="25"/>
  <c r="AA24" i="25"/>
  <c r="AA27" i="25"/>
  <c r="AA47" i="27"/>
  <c r="AA49" i="27"/>
  <c r="AA31" i="27"/>
  <c r="AB23" i="20"/>
  <c r="AB53" i="20"/>
  <c r="AB51" i="20"/>
  <c r="AA37" i="28"/>
  <c r="AA49" i="28"/>
  <c r="AB53" i="19"/>
  <c r="AB24" i="19"/>
  <c r="AB48" i="19"/>
  <c r="AA25" i="24"/>
  <c r="AA17" i="25"/>
  <c r="AA38" i="25"/>
  <c r="AA35" i="25"/>
  <c r="AA48" i="25"/>
  <c r="AA34" i="27"/>
  <c r="AA26" i="27"/>
  <c r="AA21" i="27"/>
  <c r="AB48" i="20"/>
  <c r="AB20" i="20"/>
  <c r="AB17" i="20"/>
  <c r="AB45" i="20"/>
  <c r="AA32" i="28"/>
  <c r="AA54" i="28"/>
  <c r="AB16" i="19"/>
  <c r="AB19" i="19"/>
  <c r="AB20" i="19"/>
  <c r="AA35" i="24"/>
  <c r="AA20" i="24"/>
  <c r="AA32" i="24"/>
  <c r="AB27" i="21"/>
  <c r="AB41" i="21"/>
  <c r="AB22" i="21"/>
  <c r="AB17" i="21"/>
  <c r="AB34" i="9"/>
  <c r="AB22" i="9"/>
  <c r="AB52" i="9"/>
  <c r="AA50" i="29"/>
  <c r="AA51" i="29"/>
  <c r="AA28" i="29"/>
  <c r="AA44" i="29"/>
  <c r="AA18" i="26"/>
  <c r="AA39" i="26"/>
  <c r="AA45" i="26"/>
  <c r="AB43" i="23"/>
  <c r="AB47" i="23"/>
  <c r="AB41" i="23"/>
  <c r="AB32" i="23"/>
  <c r="AB49" i="22"/>
  <c r="AB26" i="22"/>
  <c r="AB31" i="22"/>
  <c r="AA38" i="27"/>
  <c r="AB33" i="20"/>
  <c r="AA48" i="28"/>
  <c r="AA29" i="28"/>
  <c r="AB18" i="19"/>
  <c r="AB54" i="19"/>
  <c r="AB15" i="21"/>
  <c r="AB33" i="9"/>
  <c r="AA17" i="29"/>
  <c r="AA24" i="26"/>
  <c r="AB16" i="23"/>
  <c r="AB26" i="23"/>
  <c r="AB52" i="23"/>
  <c r="AB16" i="22"/>
  <c r="AB19" i="22"/>
  <c r="AB47" i="22"/>
  <c r="AA16" i="25"/>
  <c r="AA30" i="25"/>
  <c r="AA39" i="25"/>
  <c r="AA50" i="25"/>
  <c r="AA46" i="27"/>
  <c r="AA50" i="27"/>
  <c r="AA45" i="27"/>
  <c r="AB40" i="20"/>
  <c r="AB29" i="20"/>
  <c r="AB30" i="20"/>
  <c r="AB43" i="20"/>
  <c r="AA33" i="28"/>
  <c r="AA25" i="28"/>
  <c r="AA28" i="28"/>
  <c r="AB34" i="19"/>
  <c r="AB31" i="19"/>
  <c r="AB46" i="19"/>
  <c r="AB17" i="19"/>
  <c r="AA50" i="24"/>
  <c r="AA47" i="24"/>
  <c r="AA34" i="24"/>
  <c r="AB37" i="21"/>
  <c r="AB29" i="21"/>
  <c r="AB48" i="21"/>
  <c r="AB44" i="21"/>
  <c r="AB35" i="9"/>
  <c r="AB23" i="9"/>
  <c r="AB37" i="9"/>
  <c r="AA20" i="29"/>
  <c r="AA49" i="29"/>
  <c r="AA36" i="29"/>
  <c r="AA31" i="29"/>
  <c r="AA17" i="26"/>
  <c r="AA28" i="26"/>
  <c r="AA48" i="26"/>
  <c r="AB53" i="23"/>
  <c r="AB29" i="23"/>
  <c r="AB45" i="23"/>
  <c r="AB39" i="23"/>
  <c r="AB33" i="22"/>
  <c r="AB22" i="22"/>
  <c r="AA42" i="27"/>
  <c r="AB32" i="20"/>
  <c r="AA54" i="27"/>
  <c r="AA41" i="27"/>
  <c r="AA18" i="25"/>
  <c r="AA16" i="27"/>
  <c r="AA52" i="25"/>
  <c r="AA29" i="27"/>
  <c r="AB49" i="20"/>
  <c r="AA17" i="28"/>
  <c r="AA21" i="25"/>
  <c r="AA26" i="25"/>
  <c r="AA41" i="25"/>
  <c r="AA48" i="27"/>
  <c r="AB46" i="20"/>
  <c r="AA30" i="28"/>
  <c r="AB51" i="19"/>
  <c r="AB37" i="19"/>
  <c r="AA30" i="24"/>
  <c r="AA40" i="24"/>
  <c r="AB49" i="21"/>
  <c r="AA47" i="25"/>
  <c r="AA23" i="27"/>
  <c r="AB31" i="20"/>
  <c r="AB19" i="20"/>
  <c r="AA22" i="28"/>
  <c r="AA51" i="28"/>
  <c r="AB16" i="9"/>
  <c r="AA27" i="29"/>
  <c r="AB21" i="23"/>
  <c r="AA34" i="25"/>
  <c r="AA32" i="25"/>
  <c r="AA19" i="25"/>
  <c r="AA43" i="25"/>
  <c r="AA36" i="27"/>
  <c r="AA44" i="27"/>
  <c r="AA32" i="27"/>
  <c r="AB42" i="20"/>
  <c r="AB50" i="20"/>
  <c r="AB39" i="20"/>
  <c r="AB38" i="20"/>
  <c r="AA24" i="28"/>
  <c r="AA42" i="28"/>
  <c r="AA20" i="28"/>
  <c r="AB21" i="19"/>
  <c r="AB27" i="19"/>
  <c r="AB29" i="19"/>
  <c r="AA28" i="24"/>
  <c r="AA37" i="24"/>
  <c r="AA33" i="24"/>
  <c r="AB46" i="21"/>
  <c r="AB31" i="21"/>
  <c r="AB19" i="21"/>
  <c r="AB45" i="21"/>
  <c r="AB42" i="9"/>
  <c r="AB21" i="9"/>
  <c r="AB26" i="9"/>
  <c r="AA47" i="29"/>
  <c r="AA40" i="29"/>
  <c r="AA26" i="29"/>
  <c r="AA34" i="26"/>
  <c r="AA15" i="26"/>
  <c r="AA27" i="26"/>
  <c r="AB23" i="23"/>
  <c r="AB19" i="23"/>
  <c r="AB51" i="23"/>
  <c r="AB44" i="23"/>
  <c r="AB39" i="22"/>
  <c r="AB50" i="22"/>
  <c r="AB53" i="22"/>
  <c r="AB40" i="21"/>
  <c r="AB20" i="9"/>
  <c r="AB50" i="9"/>
  <c r="AA48" i="29"/>
  <c r="AA18" i="29"/>
  <c r="AA30" i="29"/>
  <c r="AA49" i="26"/>
  <c r="AA31" i="25"/>
  <c r="AA53" i="25"/>
  <c r="AA40" i="25"/>
  <c r="AA39" i="27"/>
  <c r="AA35" i="27"/>
  <c r="AB16" i="20"/>
  <c r="AB25" i="20"/>
  <c r="AA34" i="28"/>
  <c r="AB30" i="19"/>
  <c r="AB26" i="19"/>
  <c r="AB32" i="19"/>
  <c r="AB47" i="19"/>
  <c r="AA51" i="24"/>
  <c r="AA24" i="24"/>
  <c r="AA17" i="24"/>
  <c r="AB34" i="21"/>
  <c r="AB39" i="21"/>
  <c r="AB18" i="21"/>
  <c r="AB38" i="9"/>
  <c r="AB25" i="9"/>
  <c r="AA29" i="29"/>
  <c r="AA37" i="29"/>
  <c r="AA54" i="29"/>
  <c r="AA44" i="26"/>
  <c r="AA43" i="26"/>
  <c r="AA51" i="26"/>
  <c r="AB54" i="23"/>
  <c r="AB30" i="23"/>
  <c r="AB18" i="23"/>
  <c r="AB28" i="22"/>
  <c r="AB35" i="22"/>
  <c r="AB23" i="22"/>
  <c r="AA33" i="25"/>
  <c r="AA25" i="25"/>
  <c r="AA49" i="25"/>
  <c r="AA30" i="27"/>
  <c r="AA18" i="27"/>
  <c r="AA24" i="27"/>
  <c r="AA22" i="27"/>
  <c r="AB18" i="20"/>
  <c r="AB44" i="20"/>
  <c r="AB21" i="20"/>
  <c r="AA15" i="28"/>
  <c r="AA36" i="28"/>
  <c r="AA26" i="28"/>
  <c r="AA35" i="28"/>
  <c r="AB15" i="19"/>
  <c r="AB50" i="19"/>
  <c r="AB41" i="19"/>
  <c r="AA52" i="24"/>
  <c r="AA54" i="24"/>
  <c r="AA46" i="24"/>
  <c r="AA36" i="24"/>
  <c r="AB33" i="21"/>
  <c r="AB23" i="21"/>
  <c r="AB54" i="21"/>
  <c r="AB46" i="9"/>
  <c r="AB40" i="9"/>
  <c r="AB53" i="9"/>
  <c r="AA24" i="29"/>
  <c r="AA34" i="29"/>
  <c r="AA46" i="29"/>
  <c r="AA54" i="26"/>
  <c r="AA33" i="26"/>
  <c r="AA30" i="26"/>
  <c r="AA41" i="26"/>
  <c r="AB42" i="23"/>
  <c r="AB33" i="23"/>
  <c r="AB22" i="23"/>
  <c r="AB42" i="22"/>
  <c r="AB18" i="22"/>
  <c r="AB36" i="22"/>
  <c r="AB45" i="22"/>
  <c r="AA15" i="25"/>
  <c r="AB52" i="20"/>
  <c r="AA23" i="28"/>
  <c r="AB45" i="19"/>
  <c r="AB47" i="21"/>
  <c r="AA47" i="26"/>
  <c r="AB40" i="23"/>
  <c r="AB26" i="20"/>
  <c r="AA16" i="28"/>
  <c r="AA43" i="28"/>
  <c r="AA18" i="28"/>
  <c r="AB43" i="19"/>
  <c r="AB52" i="19"/>
  <c r="AA23" i="24"/>
  <c r="AA41" i="24"/>
  <c r="AA42" i="24"/>
  <c r="AA19" i="24"/>
  <c r="AB35" i="21"/>
  <c r="AB21" i="21"/>
  <c r="AB30" i="9"/>
  <c r="AB43" i="9"/>
  <c r="AB54" i="9"/>
  <c r="AB19" i="9"/>
  <c r="AA22" i="29"/>
  <c r="AA23" i="29"/>
  <c r="AA39" i="29"/>
  <c r="AA19" i="26"/>
  <c r="AA31" i="26"/>
  <c r="AA23" i="26"/>
  <c r="AB20" i="23"/>
  <c r="AB46" i="23"/>
  <c r="AB15" i="22"/>
  <c r="AB27" i="22"/>
  <c r="AB54" i="22"/>
  <c r="AB20" i="22"/>
  <c r="AA29" i="25"/>
  <c r="AA37" i="25"/>
  <c r="AA46" i="25"/>
  <c r="AA37" i="27"/>
  <c r="AA52" i="27"/>
  <c r="AA43" i="27"/>
  <c r="AA53" i="27"/>
  <c r="AB37" i="20"/>
  <c r="AB24" i="20"/>
  <c r="AB41" i="20"/>
  <c r="AA31" i="28"/>
  <c r="AA39" i="28"/>
  <c r="AA53" i="28"/>
  <c r="AA46" i="28"/>
  <c r="AB40" i="19"/>
  <c r="AB44" i="19"/>
  <c r="AB35" i="19"/>
  <c r="AA48" i="24"/>
  <c r="AA31" i="24"/>
  <c r="AA15" i="24"/>
  <c r="AB28" i="21"/>
  <c r="AB25" i="21"/>
  <c r="AB53" i="21"/>
  <c r="AB29" i="9"/>
  <c r="AB24" i="9"/>
  <c r="AB18" i="9"/>
  <c r="AB27" i="9"/>
  <c r="AA16" i="29"/>
  <c r="AA32" i="29"/>
  <c r="AA52" i="29"/>
  <c r="AA20" i="26"/>
  <c r="AA52" i="26"/>
  <c r="AA16" i="26"/>
  <c r="AB38" i="23"/>
  <c r="AB50" i="23"/>
  <c r="AB52" i="22"/>
  <c r="AB32" i="22"/>
  <c r="AB46" i="22"/>
  <c r="AB41" i="22"/>
  <c r="AA51" i="27"/>
  <c r="AB54" i="20"/>
  <c r="AB23" i="19"/>
  <c r="AB22" i="19"/>
  <c r="AB36" i="19"/>
  <c r="AA45" i="24"/>
  <c r="AA16" i="24"/>
  <c r="AA49" i="24"/>
  <c r="AB32" i="21"/>
  <c r="AB28" i="9"/>
  <c r="AA25" i="26"/>
  <c r="AB27" i="23"/>
  <c r="AB25" i="22"/>
  <c r="AB48" i="22"/>
  <c r="AA28" i="25"/>
  <c r="AA40" i="27"/>
  <c r="AB27" i="20"/>
  <c r="AB36" i="20"/>
  <c r="AB35" i="20"/>
  <c r="AA50" i="28"/>
  <c r="AA21" i="28"/>
  <c r="AA52" i="28"/>
  <c r="AA41" i="28"/>
  <c r="AB33" i="19"/>
  <c r="AB25" i="19"/>
  <c r="AB28" i="19"/>
  <c r="AA21" i="24"/>
  <c r="AA38" i="24"/>
  <c r="AA44" i="24"/>
  <c r="AA22" i="24"/>
  <c r="AB36" i="21"/>
  <c r="AB30" i="21"/>
  <c r="AB16" i="21"/>
  <c r="AB41" i="9"/>
  <c r="AB51" i="9"/>
  <c r="AB17" i="9"/>
  <c r="AA45" i="29"/>
  <c r="AA35" i="29"/>
  <c r="AA21" i="29"/>
  <c r="AA36" i="26"/>
  <c r="AA38" i="26"/>
  <c r="AA37" i="26"/>
  <c r="AA50" i="26"/>
  <c r="AB35" i="23"/>
  <c r="AB37" i="23"/>
  <c r="AB15" i="23"/>
  <c r="AB17" i="22"/>
  <c r="AB24" i="22"/>
  <c r="AB38" i="22"/>
  <c r="AB30" i="22"/>
  <c r="AA15" i="27"/>
  <c r="AA38" i="28"/>
  <c r="AA43" i="24"/>
  <c r="AB52" i="21"/>
  <c r="AB42" i="21"/>
  <c r="AB32" i="9"/>
  <c r="AA15" i="29"/>
  <c r="AA40" i="26"/>
  <c r="AB17" i="23"/>
  <c r="AB49" i="23"/>
  <c r="AB51" i="22"/>
  <c r="AC11" i="29"/>
  <c r="AB12" i="29"/>
  <c r="AD11" i="21"/>
  <c r="AC12" i="21"/>
  <c r="AB12" i="27"/>
  <c r="AC11" i="27"/>
  <c r="AB12" i="28"/>
  <c r="AC11" i="28"/>
  <c r="AC12" i="20"/>
  <c r="AD11" i="20"/>
  <c r="AC11" i="26"/>
  <c r="AB12" i="26"/>
  <c r="AD11" i="19"/>
  <c r="AC12" i="19"/>
  <c r="AD11" i="9"/>
  <c r="AC12" i="9"/>
  <c r="AC11" i="24"/>
  <c r="AB12" i="24"/>
  <c r="AC12" i="23"/>
  <c r="AD11" i="23"/>
  <c r="AC11" i="25"/>
  <c r="AB12" i="25"/>
  <c r="AD11" i="22"/>
  <c r="AC12" i="22"/>
  <c r="AC26" i="21" a="1"/>
  <c r="AB27" i="27" a="1"/>
  <c r="AC43" i="9" a="1"/>
  <c r="AC42" i="23" a="1"/>
  <c r="AC47" i="22" a="1"/>
  <c r="AB40" i="29" a="1"/>
  <c r="AB43" i="29" a="1"/>
  <c r="AB20" i="29" a="1"/>
  <c r="AB48" i="29" a="1"/>
  <c r="AC49" i="21" a="1"/>
  <c r="AC30" i="21" a="1"/>
  <c r="AC46" i="21" a="1"/>
  <c r="AB43" i="27" a="1"/>
  <c r="AB44" i="27" a="1"/>
  <c r="AB45" i="27" a="1"/>
  <c r="AB40" i="27" a="1"/>
  <c r="AB53" i="28" a="1"/>
  <c r="AB37" i="28" a="1"/>
  <c r="AB28" i="28" a="1"/>
  <c r="AC38" i="20" a="1"/>
  <c r="AC17" i="20" a="1"/>
  <c r="AC27" i="20" a="1"/>
  <c r="AC24" i="20" a="1"/>
  <c r="AB45" i="26" a="1"/>
  <c r="AB34" i="26" a="1"/>
  <c r="AB37" i="26" a="1"/>
  <c r="AC39" i="19" a="1"/>
  <c r="AC25" i="19" a="1"/>
  <c r="AC23" i="19" a="1"/>
  <c r="AC36" i="19" a="1"/>
  <c r="AC39" i="9" a="1"/>
  <c r="AC21" i="9" a="1"/>
  <c r="AC42" i="9" a="1"/>
  <c r="AB27" i="24" a="1"/>
  <c r="AB26" i="24" a="1"/>
  <c r="AB45" i="24" a="1"/>
  <c r="AC36" i="23" a="1"/>
  <c r="AC25" i="23" a="1"/>
  <c r="AB34" i="25" a="1"/>
  <c r="AB36" i="25" a="1"/>
  <c r="AB44" i="25" a="1"/>
  <c r="AB51" i="25" a="1"/>
  <c r="AC46" i="22" a="1"/>
  <c r="AC52" i="22" a="1"/>
  <c r="AC43" i="22" a="1"/>
  <c r="AC39" i="21" a="1"/>
  <c r="AB23" i="28" a="1"/>
  <c r="AC25" i="20" a="1"/>
  <c r="AC29" i="9" a="1"/>
  <c r="AB33" i="25" a="1"/>
  <c r="AB31" i="25" a="1"/>
  <c r="AB39" i="29" a="1"/>
  <c r="AB18" i="29" a="1"/>
  <c r="AB27" i="29" a="1"/>
  <c r="AB45" i="29" a="1"/>
  <c r="AC31" i="21" a="1"/>
  <c r="AC35" i="21" a="1"/>
  <c r="AB29" i="27" a="1"/>
  <c r="AB54" i="27" a="1"/>
  <c r="AB49" i="27" a="1"/>
  <c r="AB39" i="27" a="1"/>
  <c r="AB40" i="28" a="1"/>
  <c r="AC53" i="20" a="1"/>
  <c r="AC44" i="20" a="1"/>
  <c r="AC48" i="20" a="1"/>
  <c r="AC15" i="20" a="1"/>
  <c r="AB50" i="26" a="1"/>
  <c r="AB22" i="26" a="1"/>
  <c r="AB48" i="26" a="1"/>
  <c r="AC15" i="19" a="1"/>
  <c r="AC32" i="19" a="1"/>
  <c r="AC47" i="19" a="1"/>
  <c r="AC48" i="19" a="1"/>
  <c r="AC44" i="9" a="1"/>
  <c r="AC20" i="9" a="1"/>
  <c r="AC19" i="9" a="1"/>
  <c r="AB40" i="24" a="1"/>
  <c r="AB17" i="24" a="1"/>
  <c r="AB34" i="24" a="1"/>
  <c r="AC53" i="23" a="1"/>
  <c r="AC27" i="23" a="1"/>
  <c r="AC18" i="23" a="1"/>
  <c r="AB29" i="25" a="1"/>
  <c r="AB15" i="25" a="1"/>
  <c r="AB49" i="25" a="1"/>
  <c r="AB21" i="25" a="1"/>
  <c r="AC32" i="22" a="1"/>
  <c r="AC18" i="22" a="1"/>
  <c r="AC42" i="22" a="1"/>
  <c r="AC26" i="22" a="1"/>
  <c r="AC50" i="22" a="1"/>
  <c r="AB25" i="24" a="1"/>
  <c r="AB40" i="25" a="1"/>
  <c r="AB19" i="27" a="1"/>
  <c r="AB44" i="26" a="1"/>
  <c r="AC24" i="19" a="1"/>
  <c r="AC42" i="21" a="1"/>
  <c r="AB41" i="28" a="1"/>
  <c r="AC31" i="19" a="1"/>
  <c r="AC41" i="23" a="1"/>
  <c r="AB32" i="25" a="1"/>
  <c r="AB17" i="29" a="1"/>
  <c r="AB41" i="29" a="1"/>
  <c r="AB52" i="29" a="1"/>
  <c r="AB46" i="29" a="1"/>
  <c r="AC36" i="21" a="1"/>
  <c r="AC19" i="21" a="1"/>
  <c r="AB20" i="27" a="1"/>
  <c r="AB30" i="27" a="1"/>
  <c r="AB46" i="27" a="1"/>
  <c r="AB36" i="28" a="1"/>
  <c r="AB29" i="28" a="1"/>
  <c r="AB44" i="28" a="1"/>
  <c r="AC36" i="20" a="1"/>
  <c r="AC18" i="20" a="1"/>
  <c r="AC40" i="20" a="1"/>
  <c r="AC33" i="20" a="1"/>
  <c r="AB52" i="26" a="1"/>
  <c r="AB29" i="26" a="1"/>
  <c r="AB54" i="26" a="1"/>
  <c r="AC26" i="19" a="1"/>
  <c r="AC19" i="19" a="1"/>
  <c r="AC21" i="19" a="1"/>
  <c r="AC22" i="19" a="1"/>
  <c r="AC47" i="9" a="1"/>
  <c r="AC36" i="9" a="1"/>
  <c r="AC24" i="9" a="1"/>
  <c r="AB16" i="24" a="1"/>
  <c r="AB33" i="24" a="1"/>
  <c r="AB52" i="24" a="1"/>
  <c r="AB28" i="24" a="1"/>
  <c r="AC49" i="23" a="1"/>
  <c r="AC50" i="23" a="1"/>
  <c r="AC51" i="23" a="1"/>
  <c r="AB23" i="25" a="1"/>
  <c r="AB27" i="25" a="1"/>
  <c r="AB24" i="25" a="1"/>
  <c r="AB41" i="25" a="1"/>
  <c r="AC38" i="22" a="1"/>
  <c r="AC40" i="22" a="1"/>
  <c r="AC35" i="22" a="1"/>
  <c r="AB33" i="29" a="1"/>
  <c r="AB53" i="29" a="1"/>
  <c r="AC18" i="21" a="1"/>
  <c r="AC40" i="21" a="1"/>
  <c r="AB28" i="27" a="1"/>
  <c r="AB51" i="27" a="1"/>
  <c r="AB32" i="27" a="1"/>
  <c r="AB54" i="28" a="1"/>
  <c r="AC54" i="20" a="1"/>
  <c r="AC51" i="20" a="1"/>
  <c r="AC42" i="20" a="1"/>
  <c r="AB15" i="26" a="1"/>
  <c r="AB46" i="26" a="1"/>
  <c r="AC41" i="19" a="1"/>
  <c r="AC17" i="19" a="1"/>
  <c r="AC28" i="9" a="1"/>
  <c r="AC41" i="9" a="1"/>
  <c r="AB15" i="24" a="1"/>
  <c r="AB39" i="24" a="1"/>
  <c r="AB36" i="24" a="1"/>
  <c r="AB47" i="24" a="1"/>
  <c r="AC20" i="23" a="1"/>
  <c r="AB50" i="29" a="1"/>
  <c r="AB36" i="29" a="1"/>
  <c r="AC50" i="21" a="1"/>
  <c r="AB15" i="27" a="1"/>
  <c r="AB30" i="28" a="1"/>
  <c r="AB22" i="28" a="1"/>
  <c r="AC32" i="20" a="1"/>
  <c r="AB24" i="26" a="1"/>
  <c r="AC45" i="19" a="1"/>
  <c r="AC26" i="9" a="1"/>
  <c r="AC46" i="23" a="1"/>
  <c r="AC23" i="23" a="1"/>
  <c r="AB25" i="25" a="1"/>
  <c r="AB46" i="25" a="1"/>
  <c r="AB53" i="25" a="1"/>
  <c r="AB17" i="25" a="1"/>
  <c r="AC19" i="23" a="1"/>
  <c r="AB54" i="25" a="1"/>
  <c r="AC20" i="22" a="1"/>
  <c r="AC53" i="22" a="1"/>
  <c r="AC25" i="22" a="1"/>
  <c r="AC15" i="21" a="1"/>
  <c r="AB16" i="26" a="1"/>
  <c r="AC27" i="19" a="1"/>
  <c r="AC51" i="9" a="1"/>
  <c r="AB32" i="24" a="1"/>
  <c r="AC39" i="23" a="1"/>
  <c r="AC33" i="22" a="1"/>
  <c r="AC17" i="22" a="1"/>
  <c r="AC31" i="22" a="1"/>
  <c r="AC28" i="21" a="1"/>
  <c r="AB26" i="27" a="1"/>
  <c r="AB41" i="26" a="1"/>
  <c r="AC49" i="9" a="1"/>
  <c r="AC34" i="23" a="1"/>
  <c r="AC30" i="22" a="1"/>
  <c r="AB35" i="29" a="1"/>
  <c r="AB54" i="29" a="1"/>
  <c r="AB49" i="29" a="1"/>
  <c r="AB38" i="29" a="1"/>
  <c r="AC20" i="21" a="1"/>
  <c r="AC47" i="21" a="1"/>
  <c r="AB48" i="27" a="1"/>
  <c r="AB17" i="27" a="1"/>
  <c r="AB31" i="27" a="1"/>
  <c r="AB23" i="27" a="1"/>
  <c r="AB33" i="28" a="1"/>
  <c r="AB19" i="28" a="1"/>
  <c r="AB31" i="28" a="1"/>
  <c r="AC46" i="20" a="1"/>
  <c r="AC49" i="20" a="1"/>
  <c r="AC45" i="20" a="1"/>
  <c r="AC31" i="20" a="1"/>
  <c r="AB49" i="26" a="1"/>
  <c r="AB51" i="26" a="1"/>
  <c r="AC50" i="19" a="1"/>
  <c r="AC16" i="19" a="1"/>
  <c r="AC33" i="19" a="1"/>
  <c r="AC49" i="19" a="1"/>
  <c r="AC53" i="9" a="1"/>
  <c r="AC17" i="9" a="1"/>
  <c r="AC33" i="9" a="1"/>
  <c r="AB37" i="24" a="1"/>
  <c r="AB44" i="24" a="1"/>
  <c r="AB31" i="24" a="1"/>
  <c r="AB48" i="24" a="1"/>
  <c r="AC47" i="23" a="1"/>
  <c r="AC48" i="23" a="1"/>
  <c r="AB19" i="25" a="1"/>
  <c r="AB35" i="25" a="1"/>
  <c r="AB50" i="25" a="1"/>
  <c r="AC44" i="22" a="1"/>
  <c r="AC51" i="22" a="1"/>
  <c r="AC24" i="22" a="1"/>
  <c r="AB44" i="29" a="1"/>
  <c r="AB32" i="29" a="1"/>
  <c r="AC41" i="21" a="1"/>
  <c r="AC27" i="21" a="1"/>
  <c r="AC44" i="21" a="1"/>
  <c r="AB41" i="27" a="1"/>
  <c r="AB35" i="27" a="1"/>
  <c r="AB34" i="27" a="1"/>
  <c r="AB25" i="28" a="1"/>
  <c r="AB16" i="28" a="1"/>
  <c r="AB18" i="28" a="1"/>
  <c r="AB26" i="28" a="1"/>
  <c r="AC22" i="20" a="1"/>
  <c r="AC21" i="20" a="1"/>
  <c r="AB35" i="26" a="1"/>
  <c r="AB26" i="26" a="1"/>
  <c r="AB31" i="26" a="1"/>
  <c r="AB40" i="26" a="1"/>
  <c r="AC53" i="19" a="1"/>
  <c r="AC37" i="19" a="1"/>
  <c r="AC18" i="19" a="1"/>
  <c r="AC30" i="9" a="1"/>
  <c r="AC52" i="9" a="1"/>
  <c r="AC50" i="9" a="1"/>
  <c r="AC34" i="9" a="1"/>
  <c r="AB49" i="24" a="1"/>
  <c r="AB19" i="24" a="1"/>
  <c r="AB24" i="24" a="1"/>
  <c r="AC32" i="23" a="1"/>
  <c r="AC44" i="23" a="1"/>
  <c r="AC40" i="23" a="1"/>
  <c r="AB52" i="25" a="1"/>
  <c r="AB48" i="25" a="1"/>
  <c r="AB47" i="25" a="1"/>
  <c r="AC36" i="22" a="1"/>
  <c r="AC19" i="22" a="1"/>
  <c r="AC27" i="22" a="1"/>
  <c r="AC29" i="22" a="1"/>
  <c r="AB21" i="26" a="1"/>
  <c r="AC38" i="19" a="1"/>
  <c r="AC15" i="9" a="1"/>
  <c r="AB43" i="25" a="1"/>
  <c r="AB34" i="29" a="1"/>
  <c r="AC22" i="21" a="1"/>
  <c r="AC26" i="23" a="1"/>
  <c r="AC44" i="19" a="1"/>
  <c r="AC22" i="9" a="1"/>
  <c r="AC45" i="9" a="1"/>
  <c r="AB30" i="24" a="1"/>
  <c r="AB29" i="24" a="1"/>
  <c r="AB38" i="24" a="1"/>
  <c r="AC45" i="23" a="1"/>
  <c r="AC54" i="23" a="1"/>
  <c r="AC37" i="23" a="1"/>
  <c r="AC33" i="23" a="1"/>
  <c r="AB22" i="25" a="1"/>
  <c r="AB30" i="25" a="1"/>
  <c r="AC34" i="22" a="1"/>
  <c r="AC45" i="22" a="1"/>
  <c r="AC37" i="22" a="1"/>
  <c r="AC39" i="22" a="1"/>
  <c r="AB37" i="29" a="1"/>
  <c r="AC23" i="21" a="1"/>
  <c r="AB45" i="28" a="1"/>
  <c r="AB46" i="28" a="1"/>
  <c r="AB15" i="28" a="1"/>
  <c r="AC28" i="20" a="1"/>
  <c r="AC46" i="19" a="1"/>
  <c r="AC41" i="20" a="1"/>
  <c r="AC30" i="19" a="1"/>
  <c r="AB22" i="24" a="1"/>
  <c r="AB21" i="29" a="1"/>
  <c r="AB30" i="29" a="1"/>
  <c r="AC53" i="21" a="1"/>
  <c r="AC25" i="21" a="1"/>
  <c r="AC17" i="21" a="1"/>
  <c r="AC24" i="21" a="1"/>
  <c r="AB21" i="27" a="1"/>
  <c r="AB52" i="27" a="1"/>
  <c r="AB37" i="27" a="1"/>
  <c r="AB39" i="28" a="1"/>
  <c r="AB48" i="28" a="1"/>
  <c r="AB34" i="28" a="1"/>
  <c r="AC35" i="20" a="1"/>
  <c r="AC39" i="20" a="1"/>
  <c r="AC30" i="20" a="1"/>
  <c r="AB33" i="26" a="1"/>
  <c r="AB43" i="26" a="1"/>
  <c r="AB19" i="26" a="1"/>
  <c r="AC52" i="19" a="1"/>
  <c r="AC48" i="9" a="1"/>
  <c r="AB16" i="29" a="1"/>
  <c r="AB53" i="27" a="1"/>
  <c r="AB38" i="26" a="1"/>
  <c r="AC32" i="9" a="1"/>
  <c r="AC35" i="9" a="1"/>
  <c r="AC40" i="9" a="1"/>
  <c r="AC38" i="9" a="1"/>
  <c r="AB23" i="24" a="1"/>
  <c r="AC29" i="23" a="1"/>
  <c r="AB39" i="25" a="1"/>
  <c r="AB42" i="28" a="1"/>
  <c r="AC43" i="20" a="1"/>
  <c r="AB39" i="26" a="1"/>
  <c r="AB21" i="24" a="1"/>
  <c r="AC30" i="23" a="1"/>
  <c r="AB20" i="25" a="1"/>
  <c r="AB47" i="29" a="1"/>
  <c r="AB28" i="29" a="1"/>
  <c r="AB15" i="29" a="1"/>
  <c r="AC43" i="21" a="1"/>
  <c r="AC16" i="21" a="1"/>
  <c r="AC37" i="21" a="1"/>
  <c r="AC21" i="21" a="1"/>
  <c r="AB50" i="27" a="1"/>
  <c r="AB18" i="27" a="1"/>
  <c r="AB33" i="27" a="1"/>
  <c r="AB49" i="28" a="1"/>
  <c r="AB38" i="28" a="1"/>
  <c r="AB35" i="28" a="1"/>
  <c r="AB32" i="28" a="1"/>
  <c r="AC47" i="20" a="1"/>
  <c r="AC50" i="20" a="1"/>
  <c r="AC26" i="20" a="1"/>
  <c r="AB25" i="26" a="1"/>
  <c r="AB20" i="26" a="1"/>
  <c r="AB18" i="26" a="1"/>
  <c r="AB30" i="26" a="1"/>
  <c r="AC51" i="19" a="1"/>
  <c r="AC34" i="19" a="1"/>
  <c r="AC20" i="19" a="1"/>
  <c r="AC23" i="9" a="1"/>
  <c r="AC54" i="9" a="1"/>
  <c r="AC31" i="9" a="1"/>
  <c r="AC46" i="9" a="1"/>
  <c r="AB51" i="24" a="1"/>
  <c r="AB42" i="24" a="1"/>
  <c r="AB50" i="24" a="1"/>
  <c r="AC35" i="23" a="1"/>
  <c r="AC38" i="23" a="1"/>
  <c r="AC21" i="23" a="1"/>
  <c r="AC16" i="23" a="1"/>
  <c r="AB37" i="25" a="1"/>
  <c r="AB28" i="25" a="1"/>
  <c r="AC23" i="22" a="1"/>
  <c r="AC15" i="22" a="1"/>
  <c r="AC21" i="22" a="1"/>
  <c r="AC16" i="22" a="1"/>
  <c r="AB22" i="29" a="1"/>
  <c r="AB29" i="29" a="1"/>
  <c r="AB25" i="29" a="1"/>
  <c r="AC29" i="21" a="1"/>
  <c r="AC34" i="21" a="1"/>
  <c r="AC32" i="21" a="1"/>
  <c r="AC54" i="21" a="1"/>
  <c r="AB42" i="27" a="1"/>
  <c r="AB47" i="27" a="1"/>
  <c r="AB20" i="28" a="1"/>
  <c r="AB17" i="28" a="1"/>
  <c r="AB43" i="28" a="1"/>
  <c r="AB51" i="28" a="1"/>
  <c r="AC29" i="20" a="1"/>
  <c r="AC52" i="20" a="1"/>
  <c r="AC16" i="20" a="1"/>
  <c r="AB27" i="26" a="1"/>
  <c r="AB47" i="26" a="1"/>
  <c r="AB17" i="26" a="1"/>
  <c r="AB32" i="26" a="1"/>
  <c r="AC35" i="19" a="1"/>
  <c r="AC54" i="19" a="1"/>
  <c r="AC16" i="9" a="1"/>
  <c r="AC27" i="9" a="1"/>
  <c r="AC25" i="9" a="1"/>
  <c r="AB54" i="24" a="1"/>
  <c r="AB46" i="24" a="1"/>
  <c r="AB53" i="24" a="1"/>
  <c r="AC28" i="23" a="1"/>
  <c r="AC52" i="23" a="1"/>
  <c r="AC24" i="23" a="1"/>
  <c r="AB18" i="25" a="1"/>
  <c r="AB26" i="25" a="1"/>
  <c r="AC28" i="22" a="1"/>
  <c r="AC54" i="22" a="1"/>
  <c r="AC41" i="22" a="1"/>
  <c r="AB38" i="27" a="1"/>
  <c r="AC37" i="20" a="1"/>
  <c r="AB53" i="26" a="1"/>
  <c r="AB36" i="26" a="1"/>
  <c r="AC29" i="19" a="1"/>
  <c r="AC15" i="23" a="1"/>
  <c r="AB41" i="24" a="1"/>
  <c r="AC31" i="23" a="1"/>
  <c r="AB42" i="29" a="1"/>
  <c r="AB24" i="27" a="1"/>
  <c r="AB24" i="28" a="1"/>
  <c r="AC23" i="20" a="1"/>
  <c r="AB42" i="26" a="1"/>
  <c r="AC18" i="9" a="1"/>
  <c r="AB18" i="24" a="1"/>
  <c r="AB16" i="25" a="1"/>
  <c r="AB22" i="27" a="1"/>
  <c r="AC40" i="19" a="1"/>
  <c r="AC22" i="23" a="1"/>
  <c r="AB42" i="25" a="1"/>
  <c r="AC48" i="22" a="1"/>
  <c r="AB23" i="29" a="1"/>
  <c r="AC48" i="21" a="1"/>
  <c r="AC45" i="21" a="1"/>
  <c r="AC33" i="21" a="1"/>
  <c r="AB36" i="27" a="1"/>
  <c r="AB50" i="28" a="1"/>
  <c r="AC34" i="20" a="1"/>
  <c r="AB23" i="26" a="1"/>
  <c r="AC43" i="19" a="1"/>
  <c r="AB35" i="24" a="1"/>
  <c r="AC17" i="23" a="1"/>
  <c r="AC49" i="22" a="1"/>
  <c r="AB51" i="29" a="1"/>
  <c r="AB16" i="27" a="1"/>
  <c r="AB27" i="28" a="1"/>
  <c r="AC19" i="20" a="1"/>
  <c r="AC28" i="19" a="1"/>
  <c r="AB43" i="24" a="1"/>
  <c r="AC22" i="22" a="1"/>
  <c r="AB38" i="25" a="1"/>
  <c r="AB45" i="25" a="1"/>
  <c r="AB19" i="29" a="1"/>
  <c r="AB31" i="29" a="1"/>
  <c r="AB26" i="29" a="1"/>
  <c r="AC38" i="21" a="1"/>
  <c r="AC51" i="21" a="1"/>
  <c r="AC52" i="21" a="1"/>
  <c r="AB25" i="27" a="1"/>
  <c r="AB52" i="28" a="1"/>
  <c r="AB47" i="28" a="1"/>
  <c r="AB21" i="28" a="1"/>
  <c r="AC20" i="20" a="1"/>
  <c r="AB28" i="26" a="1"/>
  <c r="AC42" i="19" a="1"/>
  <c r="AC37" i="9" a="1"/>
  <c r="AC43" i="23" a="1"/>
  <c r="AB24" i="29" a="1"/>
  <c r="AB20" i="24" a="1"/>
  <c r="AB20" i="24" l="1"/>
  <c r="AB24" i="29"/>
  <c r="AC43" i="23"/>
  <c r="AC37" i="9"/>
  <c r="AC42" i="19"/>
  <c r="AB28" i="26"/>
  <c r="AC20" i="20"/>
  <c r="AB21" i="28"/>
  <c r="AB47" i="28"/>
  <c r="AB52" i="28"/>
  <c r="AB25" i="27"/>
  <c r="AC52" i="21"/>
  <c r="AC51" i="21"/>
  <c r="AC38" i="21"/>
  <c r="AB26" i="29"/>
  <c r="AB31" i="29"/>
  <c r="AB19" i="29"/>
  <c r="AB45" i="25"/>
  <c r="AB38" i="25"/>
  <c r="AC22" i="22"/>
  <c r="AB43" i="24"/>
  <c r="AC28" i="19"/>
  <c r="AC19" i="20"/>
  <c r="AB27" i="28"/>
  <c r="AB16" i="27"/>
  <c r="AB51" i="29"/>
  <c r="AC49" i="22"/>
  <c r="AC17" i="23"/>
  <c r="AB35" i="24"/>
  <c r="AC43" i="19"/>
  <c r="AB23" i="26"/>
  <c r="AC34" i="20"/>
  <c r="AB50" i="28"/>
  <c r="AB36" i="27"/>
  <c r="AC33" i="21"/>
  <c r="AC45" i="21"/>
  <c r="AC48" i="21"/>
  <c r="AB23" i="29"/>
  <c r="AC48" i="22"/>
  <c r="AB42" i="25"/>
  <c r="AC22" i="23"/>
  <c r="AC40" i="19"/>
  <c r="AB22" i="27"/>
  <c r="AB16" i="25"/>
  <c r="AB18" i="24"/>
  <c r="AC18" i="9"/>
  <c r="AB42" i="26"/>
  <c r="AC23" i="20"/>
  <c r="AB24" i="28"/>
  <c r="AB24" i="27"/>
  <c r="AB42" i="29"/>
  <c r="AC31" i="23"/>
  <c r="AB41" i="24"/>
  <c r="AC15" i="23"/>
  <c r="AC29" i="19"/>
  <c r="AB36" i="26"/>
  <c r="AB53" i="26"/>
  <c r="AC37" i="20"/>
  <c r="AB38" i="27"/>
  <c r="AC41" i="22"/>
  <c r="AC54" i="22"/>
  <c r="AC28" i="22"/>
  <c r="AB26" i="25"/>
  <c r="AB18" i="25"/>
  <c r="AC24" i="23"/>
  <c r="AC52" i="23"/>
  <c r="AC28" i="23"/>
  <c r="AB53" i="24"/>
  <c r="AB46" i="24"/>
  <c r="AB54" i="24"/>
  <c r="AC25" i="9"/>
  <c r="AC27" i="9"/>
  <c r="AC16" i="9"/>
  <c r="AC54" i="19"/>
  <c r="AC35" i="19"/>
  <c r="AB32" i="26"/>
  <c r="AB17" i="26"/>
  <c r="AB47" i="26"/>
  <c r="AB27" i="26"/>
  <c r="AC16" i="20"/>
  <c r="AC52" i="20"/>
  <c r="AC29" i="20"/>
  <c r="AB51" i="28"/>
  <c r="AB43" i="28"/>
  <c r="AB17" i="28"/>
  <c r="AB20" i="28"/>
  <c r="AB47" i="27"/>
  <c r="AB42" i="27"/>
  <c r="AC54" i="21"/>
  <c r="AC32" i="21"/>
  <c r="AC34" i="21"/>
  <c r="AC29" i="21"/>
  <c r="AB25" i="29"/>
  <c r="AB29" i="29"/>
  <c r="AB22" i="29"/>
  <c r="AC16" i="22"/>
  <c r="AC21" i="22"/>
  <c r="AC15" i="22"/>
  <c r="AC23" i="22"/>
  <c r="AB28" i="25"/>
  <c r="AB37" i="25"/>
  <c r="AC16" i="23"/>
  <c r="AC21" i="23"/>
  <c r="AC38" i="23"/>
  <c r="AC35" i="23"/>
  <c r="AB50" i="24"/>
  <c r="AB42" i="24"/>
  <c r="AB51" i="24"/>
  <c r="AC46" i="9"/>
  <c r="AC31" i="9"/>
  <c r="AC54" i="9"/>
  <c r="AC23" i="9"/>
  <c r="AC20" i="19"/>
  <c r="AC34" i="19"/>
  <c r="AC51" i="19"/>
  <c r="AB30" i="26"/>
  <c r="AB18" i="26"/>
  <c r="AB20" i="26"/>
  <c r="AB25" i="26"/>
  <c r="AC26" i="20"/>
  <c r="AC50" i="20"/>
  <c r="AC47" i="20"/>
  <c r="AB32" i="28"/>
  <c r="AB35" i="28"/>
  <c r="AB38" i="28"/>
  <c r="AB49" i="28"/>
  <c r="AB33" i="27"/>
  <c r="AB18" i="27"/>
  <c r="AB50" i="27"/>
  <c r="AC21" i="21"/>
  <c r="AC37" i="21"/>
  <c r="AC16" i="21"/>
  <c r="AC43" i="21"/>
  <c r="AB15" i="29"/>
  <c r="AB28" i="29"/>
  <c r="AB47" i="29"/>
  <c r="AB20" i="25"/>
  <c r="AC30" i="23"/>
  <c r="AB21" i="24"/>
  <c r="AB39" i="26"/>
  <c r="AC43" i="20"/>
  <c r="AB42" i="28"/>
  <c r="AB39" i="25"/>
  <c r="AC29" i="23"/>
  <c r="AB23" i="24"/>
  <c r="AC38" i="9"/>
  <c r="AC40" i="9"/>
  <c r="AC35" i="9"/>
  <c r="AC32" i="9"/>
  <c r="AB38" i="26"/>
  <c r="AB53" i="27"/>
  <c r="AB16" i="29"/>
  <c r="AC48" i="9"/>
  <c r="AC52" i="19"/>
  <c r="AB19" i="26"/>
  <c r="AB43" i="26"/>
  <c r="AB33" i="26"/>
  <c r="AC30" i="20"/>
  <c r="AC39" i="20"/>
  <c r="AC35" i="20"/>
  <c r="AB34" i="28"/>
  <c r="AB48" i="28"/>
  <c r="AB39" i="28"/>
  <c r="AB37" i="27"/>
  <c r="AB52" i="27"/>
  <c r="AB21" i="27"/>
  <c r="AC24" i="21"/>
  <c r="AC17" i="21"/>
  <c r="AC25" i="21"/>
  <c r="AC53" i="21"/>
  <c r="AB30" i="29"/>
  <c r="AB21" i="29"/>
  <c r="AB22" i="24"/>
  <c r="AC30" i="19"/>
  <c r="AC41" i="20"/>
  <c r="AC46" i="19"/>
  <c r="AC28" i="20"/>
  <c r="AB15" i="28"/>
  <c r="AB46" i="28"/>
  <c r="AB45" i="28"/>
  <c r="AC23" i="21"/>
  <c r="AB37" i="29"/>
  <c r="AC39" i="22"/>
  <c r="AC37" i="22"/>
  <c r="AC45" i="22"/>
  <c r="AC34" i="22"/>
  <c r="AB30" i="25"/>
  <c r="AB22" i="25"/>
  <c r="AC33" i="23"/>
  <c r="AC37" i="23"/>
  <c r="AC54" i="23"/>
  <c r="AC45" i="23"/>
  <c r="AB38" i="24"/>
  <c r="AB29" i="24"/>
  <c r="AB30" i="24"/>
  <c r="AC45" i="9"/>
  <c r="AC22" i="9"/>
  <c r="AC44" i="19"/>
  <c r="AC26" i="23"/>
  <c r="AC22" i="21"/>
  <c r="AB34" i="29"/>
  <c r="AB43" i="25"/>
  <c r="AC15" i="9"/>
  <c r="AC38" i="19"/>
  <c r="AB21" i="26"/>
  <c r="AC29" i="22"/>
  <c r="AC27" i="22"/>
  <c r="AC19" i="22"/>
  <c r="AC36" i="22"/>
  <c r="AB47" i="25"/>
  <c r="AB48" i="25"/>
  <c r="AB52" i="25"/>
  <c r="AC40" i="23"/>
  <c r="AC44" i="23"/>
  <c r="AC32" i="23"/>
  <c r="AB24" i="24"/>
  <c r="AB19" i="24"/>
  <c r="AB49" i="24"/>
  <c r="AC34" i="9"/>
  <c r="AC50" i="9"/>
  <c r="AC52" i="9"/>
  <c r="AC30" i="9"/>
  <c r="AC18" i="19"/>
  <c r="AC37" i="19"/>
  <c r="AC53" i="19"/>
  <c r="AB40" i="26"/>
  <c r="AB31" i="26"/>
  <c r="AB26" i="26"/>
  <c r="AB35" i="26"/>
  <c r="AC21" i="20"/>
  <c r="AC22" i="20"/>
  <c r="AB26" i="28"/>
  <c r="AB18" i="28"/>
  <c r="AB16" i="28"/>
  <c r="AB25" i="28"/>
  <c r="AB34" i="27"/>
  <c r="AB35" i="27"/>
  <c r="AB41" i="27"/>
  <c r="AC44" i="21"/>
  <c r="AC27" i="21"/>
  <c r="AC41" i="21"/>
  <c r="AB32" i="29"/>
  <c r="AB44" i="29"/>
  <c r="AC24" i="22"/>
  <c r="AC51" i="22"/>
  <c r="AC44" i="22"/>
  <c r="AB50" i="25"/>
  <c r="AB35" i="25"/>
  <c r="AB19" i="25"/>
  <c r="AC48" i="23"/>
  <c r="AC47" i="23"/>
  <c r="AB48" i="24"/>
  <c r="AB31" i="24"/>
  <c r="AB44" i="24"/>
  <c r="AB37" i="24"/>
  <c r="AC33" i="9"/>
  <c r="AC17" i="9"/>
  <c r="AC53" i="9"/>
  <c r="AC49" i="19"/>
  <c r="AC33" i="19"/>
  <c r="AC16" i="19"/>
  <c r="AC50" i="19"/>
  <c r="AB51" i="26"/>
  <c r="AB49" i="26"/>
  <c r="AC31" i="20"/>
  <c r="AC45" i="20"/>
  <c r="AC49" i="20"/>
  <c r="AC46" i="20"/>
  <c r="AB31" i="28"/>
  <c r="AB19" i="28"/>
  <c r="AB33" i="28"/>
  <c r="AB23" i="27"/>
  <c r="AB31" i="27"/>
  <c r="AB17" i="27"/>
  <c r="AB48" i="27"/>
  <c r="AC47" i="21"/>
  <c r="AC20" i="21"/>
  <c r="AB38" i="29"/>
  <c r="AB49" i="29"/>
  <c r="AB54" i="29"/>
  <c r="AB35" i="29"/>
  <c r="AC30" i="22"/>
  <c r="AC34" i="23"/>
  <c r="AC49" i="9"/>
  <c r="AB41" i="26"/>
  <c r="AB26" i="27"/>
  <c r="AC28" i="21"/>
  <c r="AC31" i="22"/>
  <c r="AC17" i="22"/>
  <c r="AC33" i="22"/>
  <c r="AC39" i="23"/>
  <c r="AB32" i="24"/>
  <c r="AC51" i="9"/>
  <c r="AC27" i="19"/>
  <c r="AB16" i="26"/>
  <c r="AC15" i="21"/>
  <c r="AC25" i="22"/>
  <c r="AC53" i="22"/>
  <c r="AC20" i="22"/>
  <c r="AB54" i="25"/>
  <c r="AC19" i="23"/>
  <c r="AB17" i="25"/>
  <c r="AB53" i="25"/>
  <c r="AB46" i="25"/>
  <c r="AB25" i="25"/>
  <c r="AC23" i="23"/>
  <c r="AC46" i="23"/>
  <c r="AC26" i="9"/>
  <c r="AC45" i="19"/>
  <c r="AB24" i="26"/>
  <c r="AC32" i="20"/>
  <c r="AB22" i="28"/>
  <c r="AB30" i="28"/>
  <c r="AB15" i="27"/>
  <c r="AC50" i="21"/>
  <c r="AB36" i="29"/>
  <c r="AB50" i="29"/>
  <c r="AC20" i="23"/>
  <c r="AB47" i="24"/>
  <c r="AB36" i="24"/>
  <c r="AB39" i="24"/>
  <c r="AB15" i="24"/>
  <c r="AC41" i="9"/>
  <c r="AC28" i="9"/>
  <c r="AC17" i="19"/>
  <c r="AC41" i="19"/>
  <c r="AB46" i="26"/>
  <c r="AB15" i="26"/>
  <c r="AC42" i="20"/>
  <c r="AC51" i="20"/>
  <c r="AC54" i="20"/>
  <c r="AB54" i="28"/>
  <c r="AB32" i="27"/>
  <c r="AB51" i="27"/>
  <c r="AB28" i="27"/>
  <c r="AC40" i="21"/>
  <c r="AC18" i="21"/>
  <c r="AB53" i="29"/>
  <c r="AB33" i="29"/>
  <c r="AC35" i="22"/>
  <c r="AC40" i="22"/>
  <c r="AC38" i="22"/>
  <c r="AB41" i="25"/>
  <c r="AB24" i="25"/>
  <c r="AB27" i="25"/>
  <c r="AB23" i="25"/>
  <c r="AC51" i="23"/>
  <c r="AC50" i="23"/>
  <c r="AC49" i="23"/>
  <c r="AB28" i="24"/>
  <c r="AB52" i="24"/>
  <c r="AB33" i="24"/>
  <c r="AB16" i="24"/>
  <c r="AC24" i="9"/>
  <c r="AC36" i="9"/>
  <c r="AC47" i="9"/>
  <c r="AC22" i="19"/>
  <c r="AC21" i="19"/>
  <c r="AC19" i="19"/>
  <c r="AC26" i="19"/>
  <c r="AB54" i="26"/>
  <c r="AB29" i="26"/>
  <c r="AB52" i="26"/>
  <c r="AC33" i="20"/>
  <c r="AC40" i="20"/>
  <c r="AC18" i="20"/>
  <c r="AC36" i="20"/>
  <c r="AB44" i="28"/>
  <c r="AB29" i="28"/>
  <c r="AB36" i="28"/>
  <c r="AB46" i="27"/>
  <c r="AB30" i="27"/>
  <c r="AB20" i="27"/>
  <c r="AC19" i="21"/>
  <c r="AC36" i="21"/>
  <c r="AB46" i="29"/>
  <c r="AB52" i="29"/>
  <c r="AB41" i="29"/>
  <c r="AB17" i="29"/>
  <c r="AB32" i="25"/>
  <c r="AC41" i="23"/>
  <c r="AC31" i="19"/>
  <c r="AB41" i="28"/>
  <c r="AC42" i="21"/>
  <c r="AC24" i="19"/>
  <c r="AB44" i="26"/>
  <c r="AB19" i="27"/>
  <c r="AB40" i="25"/>
  <c r="AB25" i="24"/>
  <c r="AC50" i="22"/>
  <c r="AC26" i="22"/>
  <c r="AC42" i="22"/>
  <c r="AC18" i="22"/>
  <c r="AC32" i="22"/>
  <c r="AB21" i="25"/>
  <c r="AB49" i="25"/>
  <c r="AB15" i="25"/>
  <c r="AB29" i="25"/>
  <c r="AC18" i="23"/>
  <c r="AC27" i="23"/>
  <c r="AC53" i="23"/>
  <c r="AB34" i="24"/>
  <c r="AB17" i="24"/>
  <c r="AB40" i="24"/>
  <c r="AC19" i="9"/>
  <c r="AC20" i="9"/>
  <c r="AC44" i="9"/>
  <c r="AC48" i="19"/>
  <c r="AC47" i="19"/>
  <c r="AC32" i="19"/>
  <c r="AC15" i="19"/>
  <c r="AB48" i="26"/>
  <c r="AB22" i="26"/>
  <c r="AB50" i="26"/>
  <c r="AC15" i="20"/>
  <c r="AC48" i="20"/>
  <c r="AC44" i="20"/>
  <c r="AC53" i="20"/>
  <c r="AB40" i="28"/>
  <c r="AB39" i="27"/>
  <c r="AB49" i="27"/>
  <c r="AB54" i="27"/>
  <c r="AB29" i="27"/>
  <c r="AC35" i="21"/>
  <c r="AC31" i="21"/>
  <c r="AB45" i="29"/>
  <c r="AB27" i="29"/>
  <c r="AB18" i="29"/>
  <c r="AB39" i="29"/>
  <c r="AB31" i="25"/>
  <c r="AB33" i="25"/>
  <c r="AC29" i="9"/>
  <c r="AC25" i="20"/>
  <c r="AB23" i="28"/>
  <c r="AC39" i="21"/>
  <c r="AC43" i="22"/>
  <c r="AC52" i="22"/>
  <c r="AC46" i="22"/>
  <c r="AB51" i="25"/>
  <c r="AB44" i="25"/>
  <c r="AB36" i="25"/>
  <c r="AB34" i="25"/>
  <c r="AC25" i="23"/>
  <c r="AC36" i="23"/>
  <c r="AB45" i="24"/>
  <c r="AB26" i="24"/>
  <c r="AB27" i="24"/>
  <c r="AC42" i="9"/>
  <c r="AC21" i="9"/>
  <c r="AC39" i="9"/>
  <c r="AC36" i="19"/>
  <c r="AC23" i="19"/>
  <c r="AC25" i="19"/>
  <c r="AC39" i="19"/>
  <c r="AB37" i="26"/>
  <c r="AB34" i="26"/>
  <c r="AB45" i="26"/>
  <c r="AC24" i="20"/>
  <c r="AC27" i="20"/>
  <c r="AC17" i="20"/>
  <c r="AC38" i="20"/>
  <c r="AB28" i="28"/>
  <c r="AB37" i="28"/>
  <c r="AB53" i="28"/>
  <c r="AB40" i="27"/>
  <c r="AB45" i="27"/>
  <c r="AB44" i="27"/>
  <c r="AB43" i="27"/>
  <c r="AC46" i="21"/>
  <c r="AC30" i="21"/>
  <c r="AC49" i="21"/>
  <c r="AB48" i="29"/>
  <c r="AB20" i="29"/>
  <c r="AB43" i="29"/>
  <c r="AB40" i="29"/>
  <c r="AC47" i="22"/>
  <c r="AC42" i="23"/>
  <c r="AC43" i="9"/>
  <c r="AB27" i="27"/>
  <c r="AC26" i="21"/>
  <c r="AE11" i="19"/>
  <c r="AD12" i="19"/>
  <c r="AC12" i="27"/>
  <c r="AD11" i="27"/>
  <c r="AD11" i="25"/>
  <c r="AC12" i="25"/>
  <c r="AD12" i="9"/>
  <c r="AE11" i="9"/>
  <c r="AC12" i="28"/>
  <c r="AD11" i="28"/>
  <c r="AE11" i="23"/>
  <c r="AD12" i="23"/>
  <c r="AC12" i="26"/>
  <c r="AD11" i="26"/>
  <c r="AD11" i="29"/>
  <c r="AC12" i="29"/>
  <c r="AE11" i="22"/>
  <c r="AD12" i="22"/>
  <c r="AE11" i="21"/>
  <c r="AD12" i="21"/>
  <c r="AC12" i="24"/>
  <c r="AD11" i="24"/>
  <c r="AD12" i="20"/>
  <c r="AE11" i="20"/>
  <c r="AD23" i="19" a="1"/>
  <c r="AD50" i="19" a="1"/>
  <c r="AC36" i="27" a="1"/>
  <c r="AC33" i="26" a="1"/>
  <c r="AC22" i="29" a="1"/>
  <c r="AC22" i="24" a="1"/>
  <c r="AD31" i="20" a="1"/>
  <c r="AC25" i="24" a="1"/>
  <c r="AD34" i="19" a="1"/>
  <c r="AD51" i="19" a="1"/>
  <c r="AD29" i="19" a="1"/>
  <c r="AD28" i="19" a="1"/>
  <c r="AC17" i="27" a="1"/>
  <c r="AC32" i="27" a="1"/>
  <c r="AC54" i="27" a="1"/>
  <c r="AC45" i="25" a="1"/>
  <c r="AC32" i="25" a="1"/>
  <c r="AC42" i="25" a="1"/>
  <c r="AC29" i="25" a="1"/>
  <c r="AD40" i="9" a="1"/>
  <c r="AD48" i="9" a="1"/>
  <c r="AD47" i="9" a="1"/>
  <c r="AC49" i="28" a="1"/>
  <c r="AC20" i="28" a="1"/>
  <c r="AC42" i="28" a="1"/>
  <c r="AC38" i="28" a="1"/>
  <c r="AD35" i="23" a="1"/>
  <c r="AD32" i="23" a="1"/>
  <c r="AD51" i="23" a="1"/>
  <c r="AC23" i="26" a="1"/>
  <c r="AC51" i="26" a="1"/>
  <c r="AC46" i="26" a="1"/>
  <c r="AC19" i="26" a="1"/>
  <c r="AC46" i="29" a="1"/>
  <c r="AC36" i="29" a="1"/>
  <c r="AC26" i="29" a="1"/>
  <c r="AD52" i="22" a="1"/>
  <c r="AD48" i="22" a="1"/>
  <c r="AD47" i="22" a="1"/>
  <c r="AD31" i="22" a="1"/>
  <c r="AD16" i="21" a="1"/>
  <c r="AD42" i="21" a="1"/>
  <c r="AD40" i="21" a="1"/>
  <c r="AC32" i="24" a="1"/>
  <c r="AC40" i="24" a="1"/>
  <c r="AC21" i="24" a="1"/>
  <c r="AC16" i="24" a="1"/>
  <c r="AD26" i="20" a="1"/>
  <c r="AD21" i="20" a="1"/>
  <c r="AD20" i="20" a="1"/>
  <c r="AD29" i="23" a="1"/>
  <c r="AD42" i="23" a="1"/>
  <c r="AC17" i="26" a="1"/>
  <c r="AC15" i="26" a="1"/>
  <c r="AC28" i="26" a="1"/>
  <c r="AC43" i="26" a="1"/>
  <c r="AC52" i="29" a="1"/>
  <c r="AC18" i="29" a="1"/>
  <c r="AD45" i="22" a="1"/>
  <c r="AD20" i="22" a="1"/>
  <c r="AD42" i="22" a="1"/>
  <c r="AD48" i="21" a="1"/>
  <c r="AD35" i="21" a="1"/>
  <c r="AC39" i="24" a="1"/>
  <c r="AC28" i="24" a="1"/>
  <c r="AC41" i="24" a="1"/>
  <c r="AC29" i="24" a="1"/>
  <c r="AD18" i="20" a="1"/>
  <c r="AD52" i="20" a="1"/>
  <c r="AD44" i="20" a="1"/>
  <c r="AD15" i="21" a="1"/>
  <c r="AD44" i="19" a="1"/>
  <c r="AD52" i="19" a="1"/>
  <c r="AD19" i="19" a="1"/>
  <c r="AD46" i="19" a="1"/>
  <c r="AC41" i="27" a="1"/>
  <c r="AC50" i="27" a="1"/>
  <c r="AC53" i="27" a="1"/>
  <c r="AC39" i="25" a="1"/>
  <c r="AC17" i="25" a="1"/>
  <c r="AC20" i="25" a="1"/>
  <c r="AC36" i="25" a="1"/>
  <c r="AD23" i="9" a="1"/>
  <c r="AD36" i="9" a="1"/>
  <c r="AD54" i="9" a="1"/>
  <c r="AC35" i="28" a="1"/>
  <c r="AC27" i="28" a="1"/>
  <c r="AC36" i="28" a="1"/>
  <c r="AC26" i="28" a="1"/>
  <c r="AD33" i="23" a="1"/>
  <c r="AC16" i="29" a="1"/>
  <c r="AD19" i="22" a="1"/>
  <c r="AD26" i="21" a="1"/>
  <c r="AD39" i="19" a="1"/>
  <c r="AD33" i="19" a="1"/>
  <c r="AD31" i="19" a="1"/>
  <c r="AC33" i="27" a="1"/>
  <c r="AC38" i="27" a="1"/>
  <c r="AC20" i="27" a="1"/>
  <c r="AC50" i="25" a="1"/>
  <c r="AC26" i="25" a="1"/>
  <c r="AC49" i="25" a="1"/>
  <c r="AC51" i="25" a="1"/>
  <c r="AD50" i="9" a="1"/>
  <c r="AD39" i="9" a="1"/>
  <c r="AD29" i="9" a="1"/>
  <c r="AC43" i="28" a="1"/>
  <c r="AC33" i="28" a="1"/>
  <c r="AC16" i="28" a="1"/>
  <c r="AC32" i="28" a="1"/>
  <c r="AD46" i="23" a="1"/>
  <c r="AD41" i="23" a="1"/>
  <c r="AD19" i="23" a="1"/>
  <c r="AC41" i="26" a="1"/>
  <c r="AC49" i="26" a="1"/>
  <c r="AC24" i="26" a="1"/>
  <c r="AC15" i="29" a="1"/>
  <c r="AC20" i="29" a="1"/>
  <c r="AC40" i="29" a="1"/>
  <c r="AD17" i="22" a="1"/>
  <c r="AD23" i="22" a="1"/>
  <c r="AD40" i="22" a="1"/>
  <c r="AD24" i="22" a="1"/>
  <c r="AD41" i="21" a="1"/>
  <c r="AD20" i="21" a="1"/>
  <c r="AD38" i="21" a="1"/>
  <c r="AC44" i="24" a="1"/>
  <c r="AC46" i="24" a="1"/>
  <c r="AC26" i="24" a="1"/>
  <c r="AC42" i="24" a="1"/>
  <c r="AD49" i="20" a="1"/>
  <c r="AD35" i="20" a="1"/>
  <c r="AD25" i="20" a="1"/>
  <c r="AD18" i="21" a="1"/>
  <c r="AD21" i="21" a="1"/>
  <c r="AC53" i="24" a="1"/>
  <c r="AC34" i="24" a="1"/>
  <c r="AC50" i="24" a="1"/>
  <c r="AC43" i="24" a="1"/>
  <c r="AD53" i="20" a="1"/>
  <c r="AD42" i="20" a="1"/>
  <c r="AD34" i="20" a="1"/>
  <c r="AD25" i="19" a="1"/>
  <c r="AD17" i="19" a="1"/>
  <c r="AD43" i="19" a="1"/>
  <c r="AC52" i="27" a="1"/>
  <c r="AC42" i="27" a="1"/>
  <c r="AC19" i="25" a="1"/>
  <c r="AD31" i="9" a="1"/>
  <c r="AC41" i="28" a="1"/>
  <c r="AD38" i="23" a="1"/>
  <c r="AD25" i="23" a="1"/>
  <c r="AC32" i="26" a="1"/>
  <c r="AD41" i="22" a="1"/>
  <c r="AD39" i="20" a="1"/>
  <c r="AD22" i="20" a="1"/>
  <c r="AD33" i="20" a="1"/>
  <c r="AD43" i="20" a="1"/>
  <c r="AD15" i="19" a="1"/>
  <c r="AD45" i="19" a="1"/>
  <c r="AD26" i="19" a="1"/>
  <c r="AD18" i="19" a="1"/>
  <c r="AC19" i="27" a="1"/>
  <c r="AC22" i="27" a="1"/>
  <c r="AC15" i="27" a="1"/>
  <c r="AC52" i="25" a="1"/>
  <c r="AC25" i="25" a="1"/>
  <c r="AC24" i="25" a="1"/>
  <c r="AC46" i="25" a="1"/>
  <c r="AD33" i="9" a="1"/>
  <c r="AD43" i="9" a="1"/>
  <c r="AD49" i="9" a="1"/>
  <c r="AC47" i="28" a="1"/>
  <c r="AC24" i="28" a="1"/>
  <c r="AC31" i="28" a="1"/>
  <c r="AD18" i="23" a="1"/>
  <c r="AD24" i="23" a="1"/>
  <c r="AD48" i="23" a="1"/>
  <c r="AC47" i="26" a="1"/>
  <c r="AC45" i="26" a="1"/>
  <c r="AC54" i="26" a="1"/>
  <c r="AC40" i="26" a="1"/>
  <c r="AC45" i="29" a="1"/>
  <c r="AC50" i="29" a="1"/>
  <c r="AD26" i="22" a="1"/>
  <c r="AD21" i="22" a="1"/>
  <c r="AD30" i="22" a="1"/>
  <c r="AD51" i="22" a="1"/>
  <c r="AD36" i="21" a="1"/>
  <c r="AC34" i="26" a="1"/>
  <c r="AC27" i="29" a="1"/>
  <c r="AC43" i="29" a="1"/>
  <c r="AC42" i="29" a="1"/>
  <c r="AC39" i="29" a="1"/>
  <c r="AD46" i="22" a="1"/>
  <c r="AD29" i="22" a="1"/>
  <c r="AD19" i="21" a="1"/>
  <c r="AD40" i="19" a="1"/>
  <c r="AD49" i="19" a="1"/>
  <c r="AD48" i="19" a="1"/>
  <c r="AD37" i="19" a="1"/>
  <c r="AC43" i="27" a="1"/>
  <c r="AC25" i="27" a="1"/>
  <c r="AC31" i="27" a="1"/>
  <c r="AC16" i="25" a="1"/>
  <c r="AC53" i="25" a="1"/>
  <c r="AC37" i="25" a="1"/>
  <c r="AC44" i="25" a="1"/>
  <c r="AD22" i="9" a="1"/>
  <c r="AD44" i="9" a="1"/>
  <c r="AD37" i="9" a="1"/>
  <c r="AC54" i="28" a="1"/>
  <c r="AC37" i="28" a="1"/>
  <c r="AC29" i="28" a="1"/>
  <c r="AC19" i="28" a="1"/>
  <c r="AD36" i="23" a="1"/>
  <c r="AD47" i="23" a="1"/>
  <c r="AD39" i="23" a="1"/>
  <c r="AC20" i="26" a="1"/>
  <c r="AC16" i="26" a="1"/>
  <c r="AC31" i="26" a="1"/>
  <c r="AC50" i="26" a="1"/>
  <c r="AC30" i="29" a="1"/>
  <c r="AC24" i="29" a="1"/>
  <c r="AC34" i="29" a="1"/>
  <c r="AD50" i="22" a="1"/>
  <c r="AD15" i="22" a="1"/>
  <c r="AD54" i="22" a="1"/>
  <c r="AD31" i="21" a="1"/>
  <c r="AD28" i="21" a="1"/>
  <c r="AD37" i="21" a="1"/>
  <c r="AC49" i="24" a="1"/>
  <c r="AC19" i="24" a="1"/>
  <c r="AC30" i="24" a="1"/>
  <c r="AC51" i="24" a="1"/>
  <c r="AD19" i="20" a="1"/>
  <c r="AD30" i="20" a="1"/>
  <c r="AD38" i="20" a="1"/>
  <c r="AC16" i="27" a="1"/>
  <c r="AC29" i="27" a="1"/>
  <c r="AC54" i="25" a="1"/>
  <c r="AC30" i="25" a="1"/>
  <c r="AD15" i="9" a="1"/>
  <c r="AD21" i="9" a="1"/>
  <c r="AD16" i="9" a="1"/>
  <c r="AC48" i="28" a="1"/>
  <c r="AC51" i="28" a="1"/>
  <c r="AC29" i="26" a="1"/>
  <c r="AD38" i="19" a="1"/>
  <c r="AD22" i="19" a="1"/>
  <c r="AD41" i="19" a="1"/>
  <c r="AC37" i="27" a="1"/>
  <c r="AC39" i="27" a="1"/>
  <c r="AC34" i="27" a="1"/>
  <c r="AC40" i="25" a="1"/>
  <c r="AC33" i="25" a="1"/>
  <c r="AC22" i="25" a="1"/>
  <c r="AD24" i="9" a="1"/>
  <c r="AD46" i="9" a="1"/>
  <c r="AD27" i="9" a="1"/>
  <c r="AD35" i="9" a="1"/>
  <c r="AC21" i="28" a="1"/>
  <c r="AC46" i="28" a="1"/>
  <c r="AC25" i="28" a="1"/>
  <c r="AD31" i="23" a="1"/>
  <c r="AD54" i="23" a="1"/>
  <c r="AD22" i="23" a="1"/>
  <c r="AD20" i="23" a="1"/>
  <c r="AC27" i="26" a="1"/>
  <c r="AC44" i="26" a="1"/>
  <c r="AC53" i="29" a="1"/>
  <c r="AC38" i="29" a="1"/>
  <c r="AC48" i="29" a="1"/>
  <c r="AC31" i="29" a="1"/>
  <c r="AD32" i="22" a="1"/>
  <c r="AD44" i="22" a="1"/>
  <c r="AD49" i="22" a="1"/>
  <c r="AD49" i="21" a="1"/>
  <c r="AD34" i="21" a="1"/>
  <c r="AC27" i="24" a="1"/>
  <c r="AD51" i="20" a="1"/>
  <c r="AD27" i="19" a="1"/>
  <c r="AD21" i="19" a="1"/>
  <c r="AD53" i="19" a="1"/>
  <c r="AC45" i="27" a="1"/>
  <c r="AC44" i="27" a="1"/>
  <c r="AC21" i="27" a="1"/>
  <c r="AC23" i="27" a="1"/>
  <c r="AC43" i="25" a="1"/>
  <c r="AC27" i="25" a="1"/>
  <c r="AC48" i="25" a="1"/>
  <c r="AD51" i="9" a="1"/>
  <c r="AD42" i="9" a="1"/>
  <c r="AD19" i="9" a="1"/>
  <c r="AD18" i="9" a="1"/>
  <c r="AC28" i="28" a="1"/>
  <c r="AC53" i="28" a="1"/>
  <c r="AC30" i="28" a="1"/>
  <c r="AD50" i="23" a="1"/>
  <c r="AD44" i="23" a="1"/>
  <c r="AD30" i="23" a="1"/>
  <c r="AD27" i="23" a="1"/>
  <c r="AC42" i="26" a="1"/>
  <c r="AC38" i="26" a="1"/>
  <c r="AC48" i="26" a="1"/>
  <c r="AC35" i="29" a="1"/>
  <c r="AC41" i="29" a="1"/>
  <c r="AC23" i="29" a="1"/>
  <c r="AC25" i="29" a="1"/>
  <c r="AD25" i="22" a="1"/>
  <c r="AD18" i="22" a="1"/>
  <c r="AD53" i="22" a="1"/>
  <c r="AD51" i="21" a="1"/>
  <c r="AD25" i="21" a="1"/>
  <c r="AD30" i="21" a="1"/>
  <c r="AC20" i="24" a="1"/>
  <c r="AC31" i="24" a="1"/>
  <c r="AD17" i="20" a="1"/>
  <c r="AD50" i="20" a="1"/>
  <c r="AD37" i="20" a="1"/>
  <c r="AD16" i="22" a="1"/>
  <c r="AD52" i="21" a="1"/>
  <c r="AD24" i="21" a="1"/>
  <c r="AD47" i="21" a="1"/>
  <c r="AC52" i="24" a="1"/>
  <c r="AC24" i="24" a="1"/>
  <c r="AD48" i="20" a="1"/>
  <c r="AD36" i="19" a="1"/>
  <c r="AC35" i="25" a="1"/>
  <c r="AC15" i="25" a="1"/>
  <c r="AD32" i="9" a="1"/>
  <c r="AC44" i="28" a="1"/>
  <c r="AD34" i="23" a="1"/>
  <c r="AC30" i="26" a="1"/>
  <c r="AC37" i="26" a="1"/>
  <c r="AC47" i="29" a="1"/>
  <c r="AD35" i="22" a="1"/>
  <c r="AD38" i="22" a="1"/>
  <c r="AD17" i="21" a="1"/>
  <c r="AD46" i="21" a="1"/>
  <c r="AC17" i="24" a="1"/>
  <c r="AC23" i="24" a="1"/>
  <c r="AD27" i="20" a="1"/>
  <c r="AD54" i="21" a="1"/>
  <c r="AD42" i="19" a="1"/>
  <c r="AD32" i="19" a="1"/>
  <c r="AD30" i="19" a="1"/>
  <c r="AC35" i="27" a="1"/>
  <c r="AC49" i="27" a="1"/>
  <c r="AC18" i="27" a="1"/>
  <c r="AC23" i="25" a="1"/>
  <c r="AC28" i="25" a="1"/>
  <c r="AC38" i="25" a="1"/>
  <c r="AD30" i="9" a="1"/>
  <c r="AD28" i="9" a="1"/>
  <c r="AD53" i="9" a="1"/>
  <c r="AC39" i="28" a="1"/>
  <c r="AC40" i="28" a="1"/>
  <c r="AC34" i="28" a="1"/>
  <c r="AD26" i="23" a="1"/>
  <c r="AD45" i="23" a="1"/>
  <c r="AD21" i="23" a="1"/>
  <c r="AD17" i="23" a="1"/>
  <c r="AC36" i="26" a="1"/>
  <c r="AC18" i="26" a="1"/>
  <c r="AC35" i="26" a="1"/>
  <c r="AC33" i="29" a="1"/>
  <c r="AC21" i="29" a="1"/>
  <c r="AC28" i="29" a="1"/>
  <c r="AD39" i="22" a="1"/>
  <c r="AD39" i="21" a="1"/>
  <c r="AC37" i="24" a="1"/>
  <c r="AD16" i="20" a="1"/>
  <c r="AD28" i="20" a="1"/>
  <c r="AD54" i="20" a="1"/>
  <c r="AD47" i="19" a="1"/>
  <c r="AC27" i="27" a="1"/>
  <c r="AD20" i="19" a="1"/>
  <c r="AD16" i="19" a="1"/>
  <c r="AC30" i="27" a="1"/>
  <c r="AC51" i="27" a="1"/>
  <c r="AC26" i="27" a="1"/>
  <c r="AC46" i="27" a="1"/>
  <c r="AC31" i="25" a="1"/>
  <c r="AC18" i="25" a="1"/>
  <c r="AC41" i="25" a="1"/>
  <c r="AD34" i="9" a="1"/>
  <c r="AD52" i="9" a="1"/>
  <c r="AD45" i="9" a="1"/>
  <c r="AD41" i="9" a="1"/>
  <c r="AC17" i="28" a="1"/>
  <c r="AC45" i="28" a="1"/>
  <c r="AC52" i="28" a="1"/>
  <c r="AD23" i="23" a="1"/>
  <c r="AD43" i="23" a="1"/>
  <c r="AD53" i="23" a="1"/>
  <c r="AD37" i="23" a="1"/>
  <c r="AC21" i="26" a="1"/>
  <c r="AC26" i="26" a="1"/>
  <c r="AC25" i="26" a="1"/>
  <c r="AC29" i="29" a="1"/>
  <c r="AC19" i="29" a="1"/>
  <c r="AC49" i="29" a="1"/>
  <c r="AC37" i="29" a="1"/>
  <c r="AD33" i="22" a="1"/>
  <c r="AD27" i="22" a="1"/>
  <c r="AD37" i="22" a="1"/>
  <c r="AD44" i="21" a="1"/>
  <c r="AD33" i="21" a="1"/>
  <c r="AD45" i="21" a="1"/>
  <c r="AD50" i="21" a="1"/>
  <c r="AC33" i="24" a="1"/>
  <c r="AC54" i="24" a="1"/>
  <c r="AC47" i="24" a="1"/>
  <c r="AD36" i="20" a="1"/>
  <c r="AD47" i="20" a="1"/>
  <c r="AD24" i="20" a="1"/>
  <c r="AD23" i="20" a="1"/>
  <c r="AD54" i="19" a="1"/>
  <c r="AD24" i="19" a="1"/>
  <c r="AC48" i="27" a="1"/>
  <c r="AC28" i="27" a="1"/>
  <c r="AC24" i="27" a="1"/>
  <c r="AC47" i="27" a="1"/>
  <c r="AC34" i="25" a="1"/>
  <c r="AC47" i="25" a="1"/>
  <c r="AD20" i="9" a="1"/>
  <c r="AD25" i="9" a="1"/>
  <c r="AD38" i="9" a="1"/>
  <c r="AC50" i="28" a="1"/>
  <c r="AC18" i="28" a="1"/>
  <c r="AC22" i="28" a="1"/>
  <c r="AD49" i="23" a="1"/>
  <c r="AD15" i="23" a="1"/>
  <c r="AD16" i="23" a="1"/>
  <c r="AC39" i="26" a="1"/>
  <c r="AC52" i="26" a="1"/>
  <c r="AC32" i="29" a="1"/>
  <c r="AC54" i="29" a="1"/>
  <c r="AC51" i="29" a="1"/>
  <c r="AD36" i="22" a="1"/>
  <c r="AD53" i="21" a="1"/>
  <c r="AC18" i="24" a="1"/>
  <c r="AD40" i="20" a="1"/>
  <c r="AD26" i="9" a="1"/>
  <c r="AC15" i="28" a="1"/>
  <c r="AC23" i="28" a="1"/>
  <c r="AD52" i="23" a="1"/>
  <c r="AC17" i="29" a="1"/>
  <c r="AD28" i="22" a="1"/>
  <c r="AC35" i="24" a="1"/>
  <c r="AD23" i="21" a="1"/>
  <c r="AC45" i="24" a="1"/>
  <c r="AD41" i="20" a="1"/>
  <c r="AC38" i="24" a="1"/>
  <c r="AD35" i="19" a="1"/>
  <c r="AC21" i="25" a="1"/>
  <c r="AD17" i="9" a="1"/>
  <c r="AD40" i="23" a="1"/>
  <c r="AC53" i="26" a="1"/>
  <c r="AC44" i="29" a="1"/>
  <c r="AD34" i="22" a="1"/>
  <c r="AD22" i="22" a="1"/>
  <c r="AD27" i="21" a="1"/>
  <c r="AD43" i="21" a="1"/>
  <c r="AD22" i="21" a="1"/>
  <c r="AC48" i="24" a="1"/>
  <c r="AC36" i="24" a="1"/>
  <c r="AD45" i="20" a="1"/>
  <c r="AD29" i="20" a="1"/>
  <c r="AD32" i="20" a="1"/>
  <c r="AC40" i="27" a="1"/>
  <c r="AD28" i="23" a="1"/>
  <c r="AC22" i="26" a="1"/>
  <c r="AD43" i="22" a="1"/>
  <c r="AD29" i="21" a="1"/>
  <c r="AC15" i="24" a="1"/>
  <c r="AD46" i="20" a="1"/>
  <c r="AD15" i="20" a="1"/>
  <c r="AD32" i="21" a="1"/>
  <c r="AD32" i="21" l="1"/>
  <c r="AD15" i="20"/>
  <c r="AD46" i="20"/>
  <c r="AC15" i="24"/>
  <c r="AD29" i="21"/>
  <c r="AD43" i="22"/>
  <c r="AC22" i="26"/>
  <c r="AD28" i="23"/>
  <c r="AC40" i="27"/>
  <c r="AD32" i="20"/>
  <c r="AD29" i="20"/>
  <c r="AD45" i="20"/>
  <c r="AC36" i="24"/>
  <c r="AC48" i="24"/>
  <c r="AD22" i="21"/>
  <c r="AD43" i="21"/>
  <c r="AD27" i="21"/>
  <c r="AD22" i="22"/>
  <c r="AD34" i="22"/>
  <c r="AC44" i="29"/>
  <c r="AC53" i="26"/>
  <c r="AD40" i="23"/>
  <c r="AD17" i="9"/>
  <c r="AC21" i="25"/>
  <c r="AD35" i="19"/>
  <c r="AC38" i="24"/>
  <c r="AD41" i="20"/>
  <c r="AC45" i="24"/>
  <c r="AD23" i="21"/>
  <c r="AC35" i="24"/>
  <c r="AD28" i="22"/>
  <c r="AC17" i="29"/>
  <c r="AD52" i="23"/>
  <c r="AC23" i="28"/>
  <c r="AC15" i="28"/>
  <c r="AD26" i="9"/>
  <c r="AD40" i="20"/>
  <c r="AC18" i="24"/>
  <c r="AD53" i="21"/>
  <c r="AD36" i="22"/>
  <c r="AC51" i="29"/>
  <c r="AC54" i="29"/>
  <c r="AC32" i="29"/>
  <c r="AC52" i="26"/>
  <c r="AC39" i="26"/>
  <c r="AD16" i="23"/>
  <c r="AD15" i="23"/>
  <c r="AD49" i="23"/>
  <c r="AC22" i="28"/>
  <c r="AC18" i="28"/>
  <c r="AC50" i="28"/>
  <c r="AD38" i="9"/>
  <c r="AD25" i="9"/>
  <c r="AD20" i="9"/>
  <c r="AC47" i="25"/>
  <c r="AC34" i="25"/>
  <c r="AC47" i="27"/>
  <c r="AC24" i="27"/>
  <c r="AC28" i="27"/>
  <c r="AC48" i="27"/>
  <c r="AD24" i="19"/>
  <c r="AD54" i="19"/>
  <c r="AD23" i="20"/>
  <c r="AD24" i="20"/>
  <c r="AD47" i="20"/>
  <c r="AD36" i="20"/>
  <c r="AC47" i="24"/>
  <c r="AC54" i="24"/>
  <c r="AC33" i="24"/>
  <c r="AD50" i="21"/>
  <c r="AD45" i="21"/>
  <c r="AD33" i="21"/>
  <c r="AD44" i="21"/>
  <c r="AD37" i="22"/>
  <c r="AD27" i="22"/>
  <c r="AD33" i="22"/>
  <c r="AC37" i="29"/>
  <c r="AC49" i="29"/>
  <c r="AC19" i="29"/>
  <c r="AC29" i="29"/>
  <c r="AC25" i="26"/>
  <c r="AC26" i="26"/>
  <c r="AC21" i="26"/>
  <c r="AD37" i="23"/>
  <c r="AD53" i="23"/>
  <c r="AD43" i="23"/>
  <c r="AD23" i="23"/>
  <c r="AC52" i="28"/>
  <c r="AC45" i="28"/>
  <c r="AC17" i="28"/>
  <c r="AD41" i="9"/>
  <c r="AD45" i="9"/>
  <c r="AD52" i="9"/>
  <c r="AD34" i="9"/>
  <c r="AC41" i="25"/>
  <c r="AC18" i="25"/>
  <c r="AC31" i="25"/>
  <c r="AC46" i="27"/>
  <c r="AC26" i="27"/>
  <c r="AC51" i="27"/>
  <c r="AC30" i="27"/>
  <c r="AD16" i="19"/>
  <c r="AD20" i="19"/>
  <c r="AC27" i="27"/>
  <c r="AD47" i="19"/>
  <c r="AD54" i="20"/>
  <c r="AD28" i="20"/>
  <c r="AD16" i="20"/>
  <c r="AC37" i="24"/>
  <c r="AD39" i="21"/>
  <c r="AD39" i="22"/>
  <c r="AC28" i="29"/>
  <c r="AC21" i="29"/>
  <c r="AC33" i="29"/>
  <c r="AC35" i="26"/>
  <c r="AC18" i="26"/>
  <c r="AC36" i="26"/>
  <c r="AD17" i="23"/>
  <c r="AD21" i="23"/>
  <c r="AD45" i="23"/>
  <c r="AD26" i="23"/>
  <c r="AC34" i="28"/>
  <c r="AC40" i="28"/>
  <c r="AC39" i="28"/>
  <c r="AD53" i="9"/>
  <c r="AD28" i="9"/>
  <c r="AD30" i="9"/>
  <c r="AC38" i="25"/>
  <c r="AC28" i="25"/>
  <c r="AC23" i="25"/>
  <c r="AC18" i="27"/>
  <c r="AC49" i="27"/>
  <c r="AC35" i="27"/>
  <c r="AD30" i="19"/>
  <c r="AD32" i="19"/>
  <c r="AD42" i="19"/>
  <c r="AD54" i="21"/>
  <c r="AD27" i="20"/>
  <c r="AC23" i="24"/>
  <c r="AC17" i="24"/>
  <c r="AD46" i="21"/>
  <c r="AD17" i="21"/>
  <c r="AD38" i="22"/>
  <c r="AD35" i="22"/>
  <c r="AC47" i="29"/>
  <c r="AC37" i="26"/>
  <c r="AC30" i="26"/>
  <c r="AD34" i="23"/>
  <c r="AC44" i="28"/>
  <c r="AD32" i="9"/>
  <c r="AC15" i="25"/>
  <c r="AC35" i="25"/>
  <c r="AD36" i="19"/>
  <c r="AD48" i="20"/>
  <c r="AC24" i="24"/>
  <c r="AC52" i="24"/>
  <c r="AD47" i="21"/>
  <c r="AD24" i="21"/>
  <c r="AD52" i="21"/>
  <c r="AD16" i="22"/>
  <c r="AD37" i="20"/>
  <c r="AD50" i="20"/>
  <c r="AD17" i="20"/>
  <c r="AC31" i="24"/>
  <c r="AC20" i="24"/>
  <c r="AD30" i="21"/>
  <c r="AD25" i="21"/>
  <c r="AD51" i="21"/>
  <c r="AD53" i="22"/>
  <c r="AD18" i="22"/>
  <c r="AD25" i="22"/>
  <c r="AC25" i="29"/>
  <c r="AC23" i="29"/>
  <c r="AC41" i="29"/>
  <c r="AC35" i="29"/>
  <c r="AC48" i="26"/>
  <c r="AC38" i="26"/>
  <c r="AC42" i="26"/>
  <c r="AD27" i="23"/>
  <c r="AD30" i="23"/>
  <c r="AD44" i="23"/>
  <c r="AD50" i="23"/>
  <c r="AC30" i="28"/>
  <c r="AC53" i="28"/>
  <c r="AC28" i="28"/>
  <c r="AD18" i="9"/>
  <c r="AD19" i="9"/>
  <c r="AD42" i="9"/>
  <c r="AD51" i="9"/>
  <c r="AC48" i="25"/>
  <c r="AC27" i="25"/>
  <c r="AC43" i="25"/>
  <c r="AC23" i="27"/>
  <c r="AC21" i="27"/>
  <c r="AC44" i="27"/>
  <c r="AC45" i="27"/>
  <c r="AD53" i="19"/>
  <c r="AD21" i="19"/>
  <c r="AD27" i="19"/>
  <c r="AD51" i="20"/>
  <c r="AC27" i="24"/>
  <c r="AD34" i="21"/>
  <c r="AD49" i="21"/>
  <c r="AD49" i="22"/>
  <c r="AD44" i="22"/>
  <c r="AD32" i="22"/>
  <c r="AC31" i="29"/>
  <c r="AC48" i="29"/>
  <c r="AC38" i="29"/>
  <c r="AC53" i="29"/>
  <c r="AC44" i="26"/>
  <c r="AC27" i="26"/>
  <c r="AD20" i="23"/>
  <c r="AD22" i="23"/>
  <c r="AD54" i="23"/>
  <c r="AD31" i="23"/>
  <c r="AC25" i="28"/>
  <c r="AC46" i="28"/>
  <c r="AC21" i="28"/>
  <c r="AD35" i="9"/>
  <c r="AD27" i="9"/>
  <c r="AD46" i="9"/>
  <c r="AD24" i="9"/>
  <c r="AC22" i="25"/>
  <c r="AC33" i="25"/>
  <c r="AC40" i="25"/>
  <c r="AC34" i="27"/>
  <c r="AC39" i="27"/>
  <c r="AC37" i="27"/>
  <c r="AD41" i="19"/>
  <c r="AD22" i="19"/>
  <c r="AD38" i="19"/>
  <c r="AC29" i="26"/>
  <c r="AC51" i="28"/>
  <c r="AC48" i="28"/>
  <c r="AD16" i="9"/>
  <c r="AD21" i="9"/>
  <c r="AD15" i="9"/>
  <c r="AC30" i="25"/>
  <c r="AC54" i="25"/>
  <c r="AC29" i="27"/>
  <c r="AC16" i="27"/>
  <c r="AD38" i="20"/>
  <c r="AD30" i="20"/>
  <c r="AD19" i="20"/>
  <c r="AC51" i="24"/>
  <c r="AC30" i="24"/>
  <c r="AC19" i="24"/>
  <c r="AC49" i="24"/>
  <c r="AD37" i="21"/>
  <c r="AD28" i="21"/>
  <c r="AD31" i="21"/>
  <c r="AD54" i="22"/>
  <c r="AD15" i="22"/>
  <c r="AD50" i="22"/>
  <c r="AC34" i="29"/>
  <c r="AC24" i="29"/>
  <c r="AC30" i="29"/>
  <c r="AC50" i="26"/>
  <c r="AC31" i="26"/>
  <c r="AC16" i="26"/>
  <c r="AC20" i="26"/>
  <c r="AD39" i="23"/>
  <c r="AD47" i="23"/>
  <c r="AD36" i="23"/>
  <c r="AC19" i="28"/>
  <c r="AC29" i="28"/>
  <c r="AC37" i="28"/>
  <c r="AC54" i="28"/>
  <c r="AD37" i="9"/>
  <c r="AD44" i="9"/>
  <c r="AD22" i="9"/>
  <c r="AC44" i="25"/>
  <c r="AC37" i="25"/>
  <c r="AC53" i="25"/>
  <c r="AC16" i="25"/>
  <c r="AC31" i="27"/>
  <c r="AC25" i="27"/>
  <c r="AC43" i="27"/>
  <c r="AD37" i="19"/>
  <c r="AD48" i="19"/>
  <c r="AD49" i="19"/>
  <c r="AD40" i="19"/>
  <c r="AD19" i="21"/>
  <c r="AD29" i="22"/>
  <c r="AD46" i="22"/>
  <c r="AC39" i="29"/>
  <c r="AC42" i="29"/>
  <c r="AC43" i="29"/>
  <c r="AC27" i="29"/>
  <c r="AC34" i="26"/>
  <c r="AD36" i="21"/>
  <c r="AD51" i="22"/>
  <c r="AD30" i="22"/>
  <c r="AD21" i="22"/>
  <c r="AD26" i="22"/>
  <c r="AC50" i="29"/>
  <c r="AC45" i="29"/>
  <c r="AC40" i="26"/>
  <c r="AC54" i="26"/>
  <c r="AC45" i="26"/>
  <c r="AC47" i="26"/>
  <c r="AD48" i="23"/>
  <c r="AD24" i="23"/>
  <c r="AD18" i="23"/>
  <c r="AC31" i="28"/>
  <c r="AC24" i="28"/>
  <c r="AC47" i="28"/>
  <c r="AD49" i="9"/>
  <c r="AD43" i="9"/>
  <c r="AD33" i="9"/>
  <c r="AC46" i="25"/>
  <c r="AC24" i="25"/>
  <c r="AC25" i="25"/>
  <c r="AC52" i="25"/>
  <c r="AC15" i="27"/>
  <c r="AC22" i="27"/>
  <c r="AC19" i="27"/>
  <c r="AD18" i="19"/>
  <c r="AD26" i="19"/>
  <c r="AD45" i="19"/>
  <c r="AD15" i="19"/>
  <c r="AD43" i="20"/>
  <c r="AD33" i="20"/>
  <c r="AD22" i="20"/>
  <c r="AD39" i="20"/>
  <c r="AD41" i="22"/>
  <c r="AC32" i="26"/>
  <c r="AD25" i="23"/>
  <c r="AD38" i="23"/>
  <c r="AC41" i="28"/>
  <c r="AD31" i="9"/>
  <c r="AC19" i="25"/>
  <c r="AC42" i="27"/>
  <c r="AC52" i="27"/>
  <c r="AD43" i="19"/>
  <c r="AD17" i="19"/>
  <c r="AD25" i="19"/>
  <c r="AD34" i="20"/>
  <c r="AD42" i="20"/>
  <c r="AD53" i="20"/>
  <c r="AC43" i="24"/>
  <c r="AC50" i="24"/>
  <c r="AC34" i="24"/>
  <c r="AC53" i="24"/>
  <c r="AD21" i="21"/>
  <c r="AD18" i="21"/>
  <c r="AD25" i="20"/>
  <c r="AD35" i="20"/>
  <c r="AD49" i="20"/>
  <c r="AC42" i="24"/>
  <c r="AC26" i="24"/>
  <c r="AC46" i="24"/>
  <c r="AC44" i="24"/>
  <c r="AD38" i="21"/>
  <c r="AD20" i="21"/>
  <c r="AD41" i="21"/>
  <c r="AD24" i="22"/>
  <c r="AD40" i="22"/>
  <c r="AD23" i="22"/>
  <c r="AD17" i="22"/>
  <c r="AC40" i="29"/>
  <c r="AC20" i="29"/>
  <c r="AC15" i="29"/>
  <c r="AC24" i="26"/>
  <c r="AC49" i="26"/>
  <c r="AC41" i="26"/>
  <c r="AD19" i="23"/>
  <c r="AD41" i="23"/>
  <c r="AD46" i="23"/>
  <c r="AC32" i="28"/>
  <c r="AC16" i="28"/>
  <c r="AC33" i="28"/>
  <c r="AC43" i="28"/>
  <c r="AD29" i="9"/>
  <c r="AD39" i="9"/>
  <c r="AD50" i="9"/>
  <c r="AC51" i="25"/>
  <c r="AC49" i="25"/>
  <c r="AC26" i="25"/>
  <c r="AC50" i="25"/>
  <c r="AC20" i="27"/>
  <c r="AC38" i="27"/>
  <c r="AC33" i="27"/>
  <c r="AD31" i="19"/>
  <c r="AD33" i="19"/>
  <c r="AD39" i="19"/>
  <c r="AD26" i="21"/>
  <c r="AD19" i="22"/>
  <c r="AC16" i="29"/>
  <c r="AD33" i="23"/>
  <c r="AC26" i="28"/>
  <c r="AC36" i="28"/>
  <c r="AC27" i="28"/>
  <c r="AC35" i="28"/>
  <c r="AD54" i="9"/>
  <c r="AD36" i="9"/>
  <c r="AD23" i="9"/>
  <c r="AC36" i="25"/>
  <c r="AC20" i="25"/>
  <c r="AC17" i="25"/>
  <c r="AC39" i="25"/>
  <c r="AC53" i="27"/>
  <c r="AC50" i="27"/>
  <c r="AC41" i="27"/>
  <c r="AD46" i="19"/>
  <c r="AD19" i="19"/>
  <c r="AD52" i="19"/>
  <c r="AD44" i="19"/>
  <c r="AD15" i="21"/>
  <c r="AD44" i="20"/>
  <c r="AD52" i="20"/>
  <c r="AD18" i="20"/>
  <c r="AC29" i="24"/>
  <c r="AC41" i="24"/>
  <c r="AC28" i="24"/>
  <c r="AC39" i="24"/>
  <c r="AD35" i="21"/>
  <c r="AD48" i="21"/>
  <c r="AD42" i="22"/>
  <c r="AD20" i="22"/>
  <c r="AD45" i="22"/>
  <c r="AC18" i="29"/>
  <c r="AC52" i="29"/>
  <c r="AC43" i="26"/>
  <c r="AC28" i="26"/>
  <c r="AC15" i="26"/>
  <c r="AC17" i="26"/>
  <c r="AD42" i="23"/>
  <c r="AD29" i="23"/>
  <c r="AD20" i="20"/>
  <c r="AD21" i="20"/>
  <c r="AD26" i="20"/>
  <c r="AC16" i="24"/>
  <c r="AC21" i="24"/>
  <c r="AC40" i="24"/>
  <c r="AC32" i="24"/>
  <c r="AD40" i="21"/>
  <c r="AD42" i="21"/>
  <c r="AD16" i="21"/>
  <c r="AD31" i="22"/>
  <c r="AD47" i="22"/>
  <c r="AD48" i="22"/>
  <c r="AD52" i="22"/>
  <c r="AC26" i="29"/>
  <c r="AC36" i="29"/>
  <c r="AC46" i="29"/>
  <c r="AC19" i="26"/>
  <c r="AC46" i="26"/>
  <c r="AC51" i="26"/>
  <c r="AC23" i="26"/>
  <c r="AD51" i="23"/>
  <c r="AD32" i="23"/>
  <c r="AD35" i="23"/>
  <c r="AC38" i="28"/>
  <c r="AC42" i="28"/>
  <c r="AC20" i="28"/>
  <c r="AC49" i="28"/>
  <c r="AD47" i="9"/>
  <c r="AD48" i="9"/>
  <c r="AD40" i="9"/>
  <c r="AC29" i="25"/>
  <c r="AC42" i="25"/>
  <c r="AC32" i="25"/>
  <c r="AC45" i="25"/>
  <c r="AC54" i="27"/>
  <c r="AC32" i="27"/>
  <c r="AC17" i="27"/>
  <c r="AD28" i="19"/>
  <c r="AD29" i="19"/>
  <c r="AD51" i="19"/>
  <c r="AD34" i="19"/>
  <c r="AC25" i="24"/>
  <c r="AD31" i="20"/>
  <c r="AC22" i="24"/>
  <c r="AC22" i="29"/>
  <c r="AC33" i="26"/>
  <c r="AC36" i="27"/>
  <c r="AD50" i="19"/>
  <c r="AD23" i="19"/>
  <c r="AE11" i="25"/>
  <c r="AD12" i="25"/>
  <c r="AE12" i="20"/>
  <c r="AF11" i="20"/>
  <c r="AE12" i="19"/>
  <c r="AF11" i="19"/>
  <c r="AD12" i="29"/>
  <c r="AE11" i="29"/>
  <c r="AD12" i="27"/>
  <c r="AE11" i="27"/>
  <c r="AE12" i="9"/>
  <c r="AF11" i="9"/>
  <c r="AE11" i="24"/>
  <c r="AD12" i="24"/>
  <c r="AF11" i="23"/>
  <c r="AE12" i="23"/>
  <c r="AE12" i="22"/>
  <c r="AF11" i="22"/>
  <c r="AE11" i="26"/>
  <c r="AD12" i="26"/>
  <c r="AF11" i="21"/>
  <c r="AE12" i="21"/>
  <c r="AD12" i="28"/>
  <c r="AE11" i="28"/>
  <c r="AD35" i="25" a="1"/>
  <c r="AD32" i="25" a="1"/>
  <c r="AE25" i="20" a="1"/>
  <c r="AE20" i="20" a="1"/>
  <c r="AE42" i="20" a="1"/>
  <c r="AE16" i="19" a="1"/>
  <c r="AE40" i="19" a="1"/>
  <c r="AE42" i="19" a="1"/>
  <c r="AD22" i="29" a="1"/>
  <c r="AD16" i="29" a="1"/>
  <c r="AD37" i="29" a="1"/>
  <c r="AD17" i="27" a="1"/>
  <c r="AD29" i="27" a="1"/>
  <c r="AD34" i="27" a="1"/>
  <c r="AE40" i="9" a="1"/>
  <c r="AE35" i="9" a="1"/>
  <c r="AE47" i="9" a="1"/>
  <c r="AD17" i="24" a="1"/>
  <c r="AD27" i="24" a="1"/>
  <c r="AD45" i="24" a="1"/>
  <c r="AD38" i="24" a="1"/>
  <c r="AE25" i="23" a="1"/>
  <c r="AE29" i="23" a="1"/>
  <c r="AE37" i="23" a="1"/>
  <c r="AE45" i="22" a="1"/>
  <c r="AE30" i="22" a="1"/>
  <c r="AE26" i="22" a="1"/>
  <c r="AE15" i="22" a="1"/>
  <c r="AD23" i="26" a="1"/>
  <c r="AD15" i="26" a="1"/>
  <c r="AD46" i="26" a="1"/>
  <c r="AE51" i="21" a="1"/>
  <c r="AE35" i="21" a="1"/>
  <c r="AE38" i="21" a="1"/>
  <c r="AD51" i="28" a="1"/>
  <c r="AD33" i="28" a="1"/>
  <c r="AD19" i="28" a="1"/>
  <c r="AD33" i="25" a="1"/>
  <c r="AD28" i="25" a="1"/>
  <c r="AD41" i="25" a="1"/>
  <c r="AE50" i="20" a="1"/>
  <c r="AE41" i="20" a="1"/>
  <c r="AE36" i="19" a="1"/>
  <c r="AE45" i="19" a="1"/>
  <c r="AD53" i="29" a="1"/>
  <c r="AD35" i="27" a="1"/>
  <c r="AD19" i="27" a="1"/>
  <c r="AD24" i="27" a="1"/>
  <c r="AE49" i="9" a="1"/>
  <c r="AD26" i="24" a="1"/>
  <c r="AE39" i="22" a="1"/>
  <c r="AD41" i="26" a="1"/>
  <c r="AE49" i="21" a="1"/>
  <c r="AD54" i="28" a="1"/>
  <c r="AD20" i="28" a="1"/>
  <c r="AD37" i="25" a="1"/>
  <c r="AE53" i="20" a="1"/>
  <c r="AE37" i="19" a="1"/>
  <c r="AD32" i="27" a="1"/>
  <c r="AD52" i="27" a="1"/>
  <c r="AD25" i="24" a="1"/>
  <c r="AD47" i="24" a="1"/>
  <c r="AE29" i="22" a="1"/>
  <c r="AD47" i="26" a="1"/>
  <c r="AD54" i="26" a="1"/>
  <c r="AE37" i="21" a="1"/>
  <c r="AD17" i="25" a="1"/>
  <c r="AD24" i="25" a="1"/>
  <c r="AD51" i="25" a="1"/>
  <c r="AD30" i="25" a="1"/>
  <c r="AE36" i="20" a="1"/>
  <c r="AE40" i="20" a="1"/>
  <c r="AE43" i="20" a="1"/>
  <c r="AE34" i="19" a="1"/>
  <c r="AE24" i="19" a="1"/>
  <c r="AE35" i="19" a="1"/>
  <c r="AE48" i="19" a="1"/>
  <c r="AD50" i="29" a="1"/>
  <c r="AD36" i="29" a="1"/>
  <c r="AD29" i="29" a="1"/>
  <c r="AD51" i="27" a="1"/>
  <c r="AD44" i="27" a="1"/>
  <c r="AD33" i="27" a="1"/>
  <c r="AD31" i="27" a="1"/>
  <c r="AE37" i="9" a="1"/>
  <c r="AE52" i="9" a="1"/>
  <c r="AE19" i="9" a="1"/>
  <c r="AD28" i="24" a="1"/>
  <c r="AD49" i="24" a="1"/>
  <c r="AD32" i="24" a="1"/>
  <c r="AD37" i="24" a="1"/>
  <c r="AE45" i="23" a="1"/>
  <c r="AE28" i="23" a="1"/>
  <c r="AE19" i="23" a="1"/>
  <c r="AE31" i="22" a="1"/>
  <c r="AE35" i="22" a="1"/>
  <c r="AE41" i="22" a="1"/>
  <c r="AE22" i="22" a="1"/>
  <c r="AD35" i="26" a="1"/>
  <c r="AD21" i="26" a="1"/>
  <c r="AE48" i="21" a="1"/>
  <c r="AE20" i="21" a="1"/>
  <c r="AE33" i="21" a="1"/>
  <c r="AE23" i="21" a="1"/>
  <c r="AD27" i="28" a="1"/>
  <c r="AD17" i="28" a="1"/>
  <c r="AD50" i="28" a="1"/>
  <c r="AE53" i="22" a="1"/>
  <c r="AE25" i="22" a="1"/>
  <c r="AE49" i="22" a="1"/>
  <c r="AE44" i="22" a="1"/>
  <c r="AD43" i="26" a="1"/>
  <c r="AD52" i="26" a="1"/>
  <c r="AD33" i="26" a="1"/>
  <c r="AE53" i="21" a="1"/>
  <c r="AE40" i="21" a="1"/>
  <c r="AE31" i="21" a="1"/>
  <c r="AE50" i="21" a="1"/>
  <c r="AD32" i="28" a="1"/>
  <c r="AD52" i="28" a="1"/>
  <c r="AD30" i="26" a="1"/>
  <c r="AD29" i="26" a="1"/>
  <c r="AE52" i="21" a="1"/>
  <c r="AD42" i="28" a="1"/>
  <c r="AD21" i="28" a="1"/>
  <c r="AE21" i="23" a="1"/>
  <c r="AD18" i="26" a="1"/>
  <c r="AE32" i="21" a="1"/>
  <c r="AD22" i="28" a="1"/>
  <c r="AD44" i="28" a="1"/>
  <c r="AE41" i="23" a="1"/>
  <c r="AE25" i="21" a="1"/>
  <c r="AD30" i="28" a="1"/>
  <c r="AD46" i="25" a="1"/>
  <c r="AD15" i="25" a="1"/>
  <c r="AE21" i="19" a="1"/>
  <c r="AD46" i="29" a="1"/>
  <c r="AD47" i="27" a="1"/>
  <c r="AE18" i="9" a="1"/>
  <c r="AE42" i="23" a="1"/>
  <c r="AE51" i="22" a="1"/>
  <c r="AE36" i="21" a="1"/>
  <c r="AD53" i="28" a="1"/>
  <c r="AD46" i="28" a="1"/>
  <c r="AD44" i="25" a="1"/>
  <c r="AD43" i="25" a="1"/>
  <c r="AD40" i="25" a="1"/>
  <c r="AD42" i="25" a="1"/>
  <c r="AE26" i="20" a="1"/>
  <c r="AE45" i="20" a="1"/>
  <c r="AE38" i="20" a="1"/>
  <c r="AE46" i="19" a="1"/>
  <c r="AE15" i="19" a="1"/>
  <c r="AE38" i="19" a="1"/>
  <c r="AE32" i="19" a="1"/>
  <c r="AD40" i="29" a="1"/>
  <c r="AD48" i="29" a="1"/>
  <c r="AD51" i="29" a="1"/>
  <c r="AD21" i="27" a="1"/>
  <c r="AD38" i="27" a="1"/>
  <c r="AD41" i="27" a="1"/>
  <c r="AD18" i="27" a="1"/>
  <c r="AE15" i="9" a="1"/>
  <c r="AE16" i="9" a="1"/>
  <c r="AE28" i="9" a="1"/>
  <c r="AD22" i="24" a="1"/>
  <c r="AD21" i="24" a="1"/>
  <c r="AD42" i="24" a="1"/>
  <c r="AD29" i="24" a="1"/>
  <c r="AE47" i="23" a="1"/>
  <c r="AE33" i="23" a="1"/>
  <c r="AD31" i="25" a="1"/>
  <c r="AD49" i="25" a="1"/>
  <c r="AD16" i="25" a="1"/>
  <c r="AD21" i="25" a="1"/>
  <c r="AE30" i="20" a="1"/>
  <c r="AE51" i="20" a="1"/>
  <c r="AE21" i="20" a="1"/>
  <c r="AE22" i="19" a="1"/>
  <c r="AE49" i="19" a="1"/>
  <c r="AE17" i="19" a="1"/>
  <c r="AE30" i="19" a="1"/>
  <c r="AD32" i="29" a="1"/>
  <c r="AD38" i="29" a="1"/>
  <c r="AD28" i="27" a="1"/>
  <c r="AD37" i="27" a="1"/>
  <c r="AD36" i="27" a="1"/>
  <c r="AD48" i="27" a="1"/>
  <c r="AE54" i="9" a="1"/>
  <c r="AE45" i="9" a="1"/>
  <c r="AE34" i="9" a="1"/>
  <c r="AD15" i="24" a="1"/>
  <c r="AD40" i="24" a="1"/>
  <c r="AD20" i="24" a="1"/>
  <c r="AD34" i="24" a="1"/>
  <c r="AE46" i="23" a="1"/>
  <c r="AE23" i="23" a="1"/>
  <c r="AE24" i="23" a="1"/>
  <c r="AE21" i="22" a="1"/>
  <c r="AE16" i="22" a="1"/>
  <c r="AE43" i="22" a="1"/>
  <c r="AD39" i="26" a="1"/>
  <c r="AD40" i="26" a="1"/>
  <c r="AD44" i="26" a="1"/>
  <c r="AE47" i="21" a="1"/>
  <c r="AE45" i="21" a="1"/>
  <c r="AE17" i="21" a="1"/>
  <c r="AE24" i="21" a="1"/>
  <c r="AD48" i="28" a="1"/>
  <c r="AD49" i="28" a="1"/>
  <c r="AD39" i="28" a="1"/>
  <c r="AE23" i="22" a="1"/>
  <c r="AE19" i="22" a="1"/>
  <c r="AD26" i="26" a="1"/>
  <c r="AD28" i="26" a="1"/>
  <c r="AE27" i="21" a="1"/>
  <c r="AD47" i="28" a="1"/>
  <c r="AD29" i="28" a="1"/>
  <c r="AE20" i="23" a="1"/>
  <c r="AD38" i="26" a="1"/>
  <c r="AE44" i="21" a="1"/>
  <c r="AD34" i="28" a="1"/>
  <c r="AD16" i="28" a="1"/>
  <c r="AD35" i="24" a="1"/>
  <c r="AE27" i="22" a="1"/>
  <c r="AD50" i="26" a="1"/>
  <c r="AD26" i="25" a="1"/>
  <c r="AD20" i="25" a="1"/>
  <c r="AD23" i="25" a="1"/>
  <c r="AE47" i="20" a="1"/>
  <c r="AE27" i="20" a="1"/>
  <c r="AE39" i="20" a="1"/>
  <c r="AE50" i="19" a="1"/>
  <c r="AE23" i="19" a="1"/>
  <c r="AE52" i="19" a="1"/>
  <c r="AD25" i="29" a="1"/>
  <c r="AD34" i="29" a="1"/>
  <c r="AD26" i="29" a="1"/>
  <c r="AD41" i="29" a="1"/>
  <c r="AD27" i="27" a="1"/>
  <c r="AD53" i="27" a="1"/>
  <c r="AD23" i="27" a="1"/>
  <c r="AE46" i="9" a="1"/>
  <c r="AE39" i="9" a="1"/>
  <c r="AE25" i="9" a="1"/>
  <c r="AE50" i="9" a="1"/>
  <c r="AD33" i="24" a="1"/>
  <c r="AD48" i="24" a="1"/>
  <c r="AD23" i="24" a="1"/>
  <c r="AE16" i="23" a="1"/>
  <c r="AE18" i="23" a="1"/>
  <c r="AE30" i="23" a="1"/>
  <c r="AE22" i="23" a="1"/>
  <c r="AE48" i="22" a="1"/>
  <c r="AD50" i="25" a="1"/>
  <c r="AD22" i="25" a="1"/>
  <c r="AD36" i="25" a="1"/>
  <c r="AE17" i="20" a="1"/>
  <c r="AE24" i="20" a="1"/>
  <c r="AE22" i="20" a="1"/>
  <c r="AE32" i="20" a="1"/>
  <c r="AE43" i="19" a="1"/>
  <c r="AE41" i="19" a="1"/>
  <c r="AE18" i="19" a="1"/>
  <c r="AD30" i="29" a="1"/>
  <c r="AD28" i="29" a="1"/>
  <c r="AD18" i="29" a="1"/>
  <c r="AD35" i="29" a="1"/>
  <c r="AD15" i="27" a="1"/>
  <c r="AD26" i="27" a="1"/>
  <c r="AD54" i="27" a="1"/>
  <c r="AE33" i="9" a="1"/>
  <c r="AE36" i="9" a="1"/>
  <c r="AE42" i="9" a="1"/>
  <c r="AD50" i="24" a="1"/>
  <c r="AD52" i="24" a="1"/>
  <c r="AE39" i="23" a="1"/>
  <c r="AE54" i="23" a="1"/>
  <c r="AE38" i="23" a="1"/>
  <c r="AE36" i="23" a="1"/>
  <c r="AE46" i="22" a="1"/>
  <c r="AE28" i="22" a="1"/>
  <c r="AE32" i="22" a="1"/>
  <c r="AD49" i="26" a="1"/>
  <c r="AD31" i="26" a="1"/>
  <c r="AD34" i="26" a="1"/>
  <c r="AD17" i="26" a="1"/>
  <c r="AE18" i="21" a="1"/>
  <c r="AE42" i="21" a="1"/>
  <c r="AE21" i="21" a="1"/>
  <c r="AD28" i="28" a="1"/>
  <c r="AD31" i="28" a="1"/>
  <c r="AD36" i="28" a="1"/>
  <c r="AD40" i="28" a="1"/>
  <c r="AE48" i="23" a="1"/>
  <c r="AE38" i="22" a="1"/>
  <c r="AE52" i="22" a="1"/>
  <c r="AE20" i="22" a="1"/>
  <c r="AD36" i="26" a="1"/>
  <c r="AE54" i="21" a="1"/>
  <c r="AD19" i="24" a="1"/>
  <c r="AE47" i="22" a="1"/>
  <c r="AE18" i="20" a="1"/>
  <c r="AD41" i="24" a="1"/>
  <c r="AE43" i="23" a="1"/>
  <c r="AD16" i="26" a="1"/>
  <c r="AE30" i="21" a="1"/>
  <c r="AD19" i="25" a="1"/>
  <c r="AD34" i="25" a="1"/>
  <c r="AD29" i="25" a="1"/>
  <c r="AE28" i="20" a="1"/>
  <c r="AE33" i="20" a="1"/>
  <c r="AE34" i="20" a="1"/>
  <c r="AE31" i="19" a="1"/>
  <c r="AE51" i="19" a="1"/>
  <c r="AE20" i="19" a="1"/>
  <c r="AD49" i="29" a="1"/>
  <c r="AD20" i="29" a="1"/>
  <c r="AD27" i="29" a="1"/>
  <c r="AD17" i="29" a="1"/>
  <c r="AD20" i="27" a="1"/>
  <c r="AD16" i="27" a="1"/>
  <c r="AD22" i="27" a="1"/>
  <c r="AE21" i="9" a="1"/>
  <c r="AE53" i="9" a="1"/>
  <c r="AE17" i="9" a="1"/>
  <c r="AE43" i="9" a="1"/>
  <c r="AD31" i="24" a="1"/>
  <c r="AD54" i="24" a="1"/>
  <c r="AD24" i="24" a="1"/>
  <c r="AE32" i="23" a="1"/>
  <c r="AD53" i="25" a="1"/>
  <c r="AD39" i="25" a="1"/>
  <c r="AD45" i="25" a="1"/>
  <c r="AE35" i="20" a="1"/>
  <c r="AE48" i="20" a="1"/>
  <c r="AE31" i="20" a="1"/>
  <c r="AE49" i="20" a="1"/>
  <c r="AE29" i="19" a="1"/>
  <c r="AE53" i="19" a="1"/>
  <c r="AD42" i="29" a="1"/>
  <c r="AD31" i="29" a="1"/>
  <c r="AD45" i="29" a="1"/>
  <c r="AD19" i="29" a="1"/>
  <c r="AD45" i="27" a="1"/>
  <c r="AD39" i="27" a="1"/>
  <c r="AE20" i="9" a="1"/>
  <c r="AE30" i="9" a="1"/>
  <c r="AE51" i="9" a="1"/>
  <c r="AE23" i="9" a="1"/>
  <c r="AD53" i="24" a="1"/>
  <c r="AD46" i="24" a="1"/>
  <c r="AD51" i="24" a="1"/>
  <c r="AE51" i="23" a="1"/>
  <c r="AE44" i="23" a="1"/>
  <c r="AE49" i="23" a="1"/>
  <c r="AE37" i="22" a="1"/>
  <c r="AE33" i="22" a="1"/>
  <c r="AD22" i="26" a="1"/>
  <c r="AD27" i="26" a="1"/>
  <c r="AD53" i="26" a="1"/>
  <c r="AD45" i="26" a="1"/>
  <c r="AE34" i="21" a="1"/>
  <c r="AE46" i="21" a="1"/>
  <c r="AE28" i="21" a="1"/>
  <c r="AD41" i="28" a="1"/>
  <c r="AD45" i="28" a="1"/>
  <c r="AD18" i="28" a="1"/>
  <c r="AD37" i="28" a="1"/>
  <c r="AD24" i="28" a="1"/>
  <c r="AD35" i="28" a="1"/>
  <c r="AD25" i="28" a="1"/>
  <c r="AD18" i="25" a="1"/>
  <c r="AE33" i="19" a="1"/>
  <c r="AD43" i="29" a="1"/>
  <c r="AD46" i="27" a="1"/>
  <c r="AE26" i="9" a="1"/>
  <c r="AD30" i="24" a="1"/>
  <c r="AE40" i="23" a="1"/>
  <c r="AE54" i="22" a="1"/>
  <c r="AD51" i="26" a="1"/>
  <c r="AE19" i="21" a="1"/>
  <c r="AD54" i="25" a="1"/>
  <c r="AE44" i="20" a="1"/>
  <c r="AE25" i="19" a="1"/>
  <c r="AD15" i="29" a="1"/>
  <c r="AD43" i="27" a="1"/>
  <c r="AE32" i="9" a="1"/>
  <c r="AD18" i="24" a="1"/>
  <c r="AE34" i="23" a="1"/>
  <c r="AE18" i="22" a="1"/>
  <c r="AE16" i="21" a="1"/>
  <c r="AD27" i="25" a="1"/>
  <c r="AD47" i="25" a="1"/>
  <c r="AD38" i="25" a="1"/>
  <c r="AE37" i="20" a="1"/>
  <c r="AE19" i="20" a="1"/>
  <c r="AE15" i="20" a="1"/>
  <c r="AE46" i="20" a="1"/>
  <c r="AE47" i="19" a="1"/>
  <c r="AE19" i="19" a="1"/>
  <c r="AE27" i="19" a="1"/>
  <c r="AD24" i="29" a="1"/>
  <c r="AD33" i="29" a="1"/>
  <c r="AD44" i="29" a="1"/>
  <c r="AD52" i="29" a="1"/>
  <c r="AD50" i="27" a="1"/>
  <c r="AD25" i="27" a="1"/>
  <c r="AD42" i="27" a="1"/>
  <c r="AE41" i="9" a="1"/>
  <c r="AE24" i="9" a="1"/>
  <c r="AE38" i="9" a="1"/>
  <c r="AE48" i="9" a="1"/>
  <c r="AD39" i="24" a="1"/>
  <c r="AD43" i="24" a="1"/>
  <c r="AE27" i="23" a="1"/>
  <c r="AE15" i="23" a="1"/>
  <c r="AE52" i="23" a="1"/>
  <c r="AE53" i="23" a="1"/>
  <c r="AE17" i="22" a="1"/>
  <c r="AE40" i="22" a="1"/>
  <c r="AE34" i="22" a="1"/>
  <c r="AD32" i="26" a="1"/>
  <c r="AD48" i="26" a="1"/>
  <c r="AD19" i="26" a="1"/>
  <c r="AD42" i="26" a="1"/>
  <c r="AE43" i="21" a="1"/>
  <c r="AE29" i="21" a="1"/>
  <c r="AE39" i="21" a="1"/>
  <c r="AD23" i="28" a="1"/>
  <c r="AD43" i="28" a="1"/>
  <c r="AD26" i="28" a="1"/>
  <c r="AD15" i="28" a="1"/>
  <c r="AD48" i="25" a="1"/>
  <c r="AD52" i="25" a="1"/>
  <c r="AE54" i="20" a="1"/>
  <c r="AE23" i="20" a="1"/>
  <c r="AE16" i="20" a="1"/>
  <c r="AE39" i="19" a="1"/>
  <c r="AE54" i="19" a="1"/>
  <c r="AE26" i="19" a="1"/>
  <c r="AD21" i="29" a="1"/>
  <c r="AD39" i="29" a="1"/>
  <c r="AD47" i="29" a="1"/>
  <c r="AD40" i="27" a="1"/>
  <c r="AE31" i="9" a="1"/>
  <c r="AE22" i="9" a="1"/>
  <c r="AD44" i="24" a="1"/>
  <c r="AD16" i="24" a="1"/>
  <c r="AE31" i="23" a="1"/>
  <c r="AE24" i="22" a="1"/>
  <c r="AD25" i="25" a="1"/>
  <c r="AE29" i="20" a="1"/>
  <c r="AD23" i="29" a="1"/>
  <c r="AD49" i="27" a="1"/>
  <c r="AD30" i="27" a="1"/>
  <c r="AE29" i="9" a="1"/>
  <c r="AE27" i="9" a="1"/>
  <c r="AD36" i="24" a="1"/>
  <c r="AE35" i="23" a="1"/>
  <c r="AE26" i="23" a="1"/>
  <c r="AE17" i="23" a="1"/>
  <c r="AE42" i="22" a="1"/>
  <c r="AE50" i="22" a="1"/>
  <c r="AD20" i="26" a="1"/>
  <c r="AD37" i="26" a="1"/>
  <c r="AD24" i="26" a="1"/>
  <c r="AD25" i="26" a="1"/>
  <c r="AE15" i="21" a="1"/>
  <c r="AE22" i="21" a="1"/>
  <c r="AE26" i="21" a="1"/>
  <c r="AD38" i="28" a="1"/>
  <c r="AE52" i="20" a="1"/>
  <c r="AE28" i="19" a="1"/>
  <c r="AD54" i="29" a="1"/>
  <c r="AE50" i="23" a="1"/>
  <c r="AE41" i="21" a="1"/>
  <c r="AE44" i="19" a="1"/>
  <c r="AE44" i="9" a="1"/>
  <c r="AE36" i="22" a="1"/>
  <c r="AE36" i="22" l="1"/>
  <c r="AE44" i="9"/>
  <c r="AE44" i="19"/>
  <c r="AE41" i="21"/>
  <c r="AE50" i="23"/>
  <c r="AD54" i="29"/>
  <c r="AE28" i="19"/>
  <c r="AE52" i="20"/>
  <c r="AD38" i="28"/>
  <c r="AE26" i="21"/>
  <c r="AE22" i="21"/>
  <c r="AE15" i="21"/>
  <c r="AD25" i="26"/>
  <c r="AD24" i="26"/>
  <c r="AD37" i="26"/>
  <c r="AD20" i="26"/>
  <c r="AE50" i="22"/>
  <c r="AE42" i="22"/>
  <c r="AE17" i="23"/>
  <c r="AE26" i="23"/>
  <c r="AE35" i="23"/>
  <c r="AD36" i="24"/>
  <c r="AE27" i="9"/>
  <c r="AE29" i="9"/>
  <c r="AD30" i="27"/>
  <c r="AD49" i="27"/>
  <c r="AD23" i="29"/>
  <c r="AE29" i="20"/>
  <c r="AD25" i="25"/>
  <c r="AE24" i="22"/>
  <c r="AE31" i="23"/>
  <c r="AD16" i="24"/>
  <c r="AD44" i="24"/>
  <c r="AE22" i="9"/>
  <c r="AE31" i="9"/>
  <c r="AD40" i="27"/>
  <c r="AD47" i="29"/>
  <c r="AD39" i="29"/>
  <c r="AD21" i="29"/>
  <c r="AE26" i="19"/>
  <c r="AE54" i="19"/>
  <c r="AE39" i="19"/>
  <c r="AE16" i="20"/>
  <c r="AE23" i="20"/>
  <c r="AE54" i="20"/>
  <c r="AD52" i="25"/>
  <c r="AD48" i="25"/>
  <c r="AD15" i="28"/>
  <c r="AD26" i="28"/>
  <c r="AD43" i="28"/>
  <c r="AD23" i="28"/>
  <c r="AE39" i="21"/>
  <c r="AE29" i="21"/>
  <c r="AE43" i="21"/>
  <c r="AD42" i="26"/>
  <c r="AD19" i="26"/>
  <c r="AD48" i="26"/>
  <c r="AD32" i="26"/>
  <c r="AE34" i="22"/>
  <c r="AE40" i="22"/>
  <c r="AE17" i="22"/>
  <c r="AE53" i="23"/>
  <c r="AE52" i="23"/>
  <c r="AE15" i="23"/>
  <c r="AE27" i="23"/>
  <c r="AD43" i="24"/>
  <c r="AD39" i="24"/>
  <c r="AE48" i="9"/>
  <c r="AE38" i="9"/>
  <c r="AE24" i="9"/>
  <c r="AE41" i="9"/>
  <c r="AD42" i="27"/>
  <c r="AD25" i="27"/>
  <c r="AD50" i="27"/>
  <c r="AD52" i="29"/>
  <c r="AD44" i="29"/>
  <c r="AD33" i="29"/>
  <c r="AD24" i="29"/>
  <c r="AE27" i="19"/>
  <c r="AE19" i="19"/>
  <c r="AE47" i="19"/>
  <c r="AE46" i="20"/>
  <c r="AE15" i="20"/>
  <c r="AE19" i="20"/>
  <c r="AE37" i="20"/>
  <c r="AD38" i="25"/>
  <c r="AD47" i="25"/>
  <c r="AD27" i="25"/>
  <c r="AE16" i="21"/>
  <c r="AE18" i="22"/>
  <c r="AE34" i="23"/>
  <c r="AD18" i="24"/>
  <c r="AE32" i="9"/>
  <c r="AD43" i="27"/>
  <c r="AD15" i="29"/>
  <c r="AE25" i="19"/>
  <c r="AE44" i="20"/>
  <c r="AD54" i="25"/>
  <c r="AE19" i="21"/>
  <c r="AD51" i="26"/>
  <c r="AE54" i="22"/>
  <c r="AE40" i="23"/>
  <c r="AD30" i="24"/>
  <c r="AE26" i="9"/>
  <c r="AD46" i="27"/>
  <c r="AD43" i="29"/>
  <c r="AE33" i="19"/>
  <c r="AD18" i="25"/>
  <c r="AD25" i="28"/>
  <c r="AD35" i="28"/>
  <c r="AD24" i="28"/>
  <c r="AD37" i="28"/>
  <c r="AD18" i="28"/>
  <c r="AD45" i="28"/>
  <c r="AD41" i="28"/>
  <c r="AE28" i="21"/>
  <c r="AE46" i="21"/>
  <c r="AE34" i="21"/>
  <c r="AD45" i="26"/>
  <c r="AD53" i="26"/>
  <c r="AD27" i="26"/>
  <c r="AD22" i="26"/>
  <c r="AE33" i="22"/>
  <c r="AE37" i="22"/>
  <c r="AE49" i="23"/>
  <c r="AE44" i="23"/>
  <c r="AE51" i="23"/>
  <c r="AD51" i="24"/>
  <c r="AD46" i="24"/>
  <c r="AD53" i="24"/>
  <c r="AE23" i="9"/>
  <c r="AE51" i="9"/>
  <c r="AE30" i="9"/>
  <c r="AE20" i="9"/>
  <c r="AD39" i="27"/>
  <c r="AD45" i="27"/>
  <c r="AD19" i="29"/>
  <c r="AD45" i="29"/>
  <c r="AD31" i="29"/>
  <c r="AD42" i="29"/>
  <c r="AE53" i="19"/>
  <c r="AE29" i="19"/>
  <c r="AE49" i="20"/>
  <c r="AE31" i="20"/>
  <c r="AE48" i="20"/>
  <c r="AE35" i="20"/>
  <c r="AD45" i="25"/>
  <c r="AD39" i="25"/>
  <c r="AD53" i="25"/>
  <c r="AE32" i="23"/>
  <c r="AD24" i="24"/>
  <c r="AD54" i="24"/>
  <c r="AD31" i="24"/>
  <c r="AE43" i="9"/>
  <c r="AE17" i="9"/>
  <c r="AE53" i="9"/>
  <c r="AE21" i="9"/>
  <c r="AD22" i="27"/>
  <c r="AD16" i="27"/>
  <c r="AD20" i="27"/>
  <c r="AD17" i="29"/>
  <c r="AD27" i="29"/>
  <c r="AD20" i="29"/>
  <c r="AD49" i="29"/>
  <c r="AE20" i="19"/>
  <c r="AE51" i="19"/>
  <c r="AE31" i="19"/>
  <c r="AE34" i="20"/>
  <c r="AE33" i="20"/>
  <c r="AE28" i="20"/>
  <c r="AD29" i="25"/>
  <c r="AD34" i="25"/>
  <c r="AD19" i="25"/>
  <c r="AE30" i="21"/>
  <c r="AD16" i="26"/>
  <c r="AE43" i="23"/>
  <c r="AD41" i="24"/>
  <c r="AE18" i="20"/>
  <c r="AE47" i="22"/>
  <c r="AD19" i="24"/>
  <c r="AE54" i="21"/>
  <c r="AD36" i="26"/>
  <c r="AE20" i="22"/>
  <c r="AE52" i="22"/>
  <c r="AE38" i="22"/>
  <c r="AE48" i="23"/>
  <c r="AD40" i="28"/>
  <c r="AD36" i="28"/>
  <c r="AD31" i="28"/>
  <c r="AD28" i="28"/>
  <c r="AE21" i="21"/>
  <c r="AE42" i="21"/>
  <c r="AE18" i="21"/>
  <c r="AD17" i="26"/>
  <c r="AD34" i="26"/>
  <c r="AD31" i="26"/>
  <c r="AD49" i="26"/>
  <c r="AE32" i="22"/>
  <c r="AE28" i="22"/>
  <c r="AE46" i="22"/>
  <c r="AE36" i="23"/>
  <c r="AE38" i="23"/>
  <c r="AE54" i="23"/>
  <c r="AE39" i="23"/>
  <c r="AD52" i="24"/>
  <c r="AD50" i="24"/>
  <c r="AE42" i="9"/>
  <c r="AE36" i="9"/>
  <c r="AE33" i="9"/>
  <c r="AD54" i="27"/>
  <c r="AD26" i="27"/>
  <c r="AD15" i="27"/>
  <c r="AD35" i="29"/>
  <c r="AD18" i="29"/>
  <c r="AD28" i="29"/>
  <c r="AD30" i="29"/>
  <c r="AE18" i="19"/>
  <c r="AE41" i="19"/>
  <c r="AE43" i="19"/>
  <c r="AE32" i="20"/>
  <c r="AE22" i="20"/>
  <c r="AE24" i="20"/>
  <c r="AE17" i="20"/>
  <c r="AD36" i="25"/>
  <c r="AD22" i="25"/>
  <c r="AD50" i="25"/>
  <c r="AE48" i="22"/>
  <c r="AE22" i="23"/>
  <c r="AE30" i="23"/>
  <c r="AE18" i="23"/>
  <c r="AE16" i="23"/>
  <c r="AD23" i="24"/>
  <c r="AD48" i="24"/>
  <c r="AD33" i="24"/>
  <c r="AE50" i="9"/>
  <c r="AE25" i="9"/>
  <c r="AE39" i="9"/>
  <c r="AE46" i="9"/>
  <c r="AD23" i="27"/>
  <c r="AD53" i="27"/>
  <c r="AD27" i="27"/>
  <c r="AD41" i="29"/>
  <c r="AD26" i="29"/>
  <c r="AD34" i="29"/>
  <c r="AD25" i="29"/>
  <c r="AE52" i="19"/>
  <c r="AE23" i="19"/>
  <c r="AE50" i="19"/>
  <c r="AE39" i="20"/>
  <c r="AE27" i="20"/>
  <c r="AE47" i="20"/>
  <c r="AD23" i="25"/>
  <c r="AD20" i="25"/>
  <c r="AD26" i="25"/>
  <c r="AD50" i="26"/>
  <c r="AE27" i="22"/>
  <c r="AD35" i="24"/>
  <c r="AD16" i="28"/>
  <c r="AD34" i="28"/>
  <c r="AE44" i="21"/>
  <c r="AD38" i="26"/>
  <c r="AE20" i="23"/>
  <c r="AD29" i="28"/>
  <c r="AD47" i="28"/>
  <c r="AE27" i="21"/>
  <c r="AD28" i="26"/>
  <c r="AD26" i="26"/>
  <c r="AE19" i="22"/>
  <c r="AE23" i="22"/>
  <c r="AD39" i="28"/>
  <c r="AD49" i="28"/>
  <c r="AD48" i="28"/>
  <c r="AE24" i="21"/>
  <c r="AE17" i="21"/>
  <c r="AE45" i="21"/>
  <c r="AE47" i="21"/>
  <c r="AD44" i="26"/>
  <c r="AD40" i="26"/>
  <c r="AD39" i="26"/>
  <c r="AE43" i="22"/>
  <c r="AE16" i="22"/>
  <c r="AE21" i="22"/>
  <c r="AE24" i="23"/>
  <c r="AE23" i="23"/>
  <c r="AE46" i="23"/>
  <c r="AD34" i="24"/>
  <c r="AD20" i="24"/>
  <c r="AD40" i="24"/>
  <c r="AD15" i="24"/>
  <c r="AE34" i="9"/>
  <c r="AE45" i="9"/>
  <c r="AE54" i="9"/>
  <c r="AD48" i="27"/>
  <c r="AD36" i="27"/>
  <c r="AD37" i="27"/>
  <c r="AD28" i="27"/>
  <c r="AD38" i="29"/>
  <c r="AD32" i="29"/>
  <c r="AE30" i="19"/>
  <c r="AE17" i="19"/>
  <c r="AE49" i="19"/>
  <c r="AE22" i="19"/>
  <c r="AE21" i="20"/>
  <c r="AE51" i="20"/>
  <c r="AE30" i="20"/>
  <c r="AD21" i="25"/>
  <c r="AD16" i="25"/>
  <c r="AD49" i="25"/>
  <c r="AD31" i="25"/>
  <c r="AE33" i="23"/>
  <c r="AE47" i="23"/>
  <c r="AD29" i="24"/>
  <c r="AD42" i="24"/>
  <c r="AD21" i="24"/>
  <c r="AD22" i="24"/>
  <c r="AE28" i="9"/>
  <c r="AE16" i="9"/>
  <c r="AE15" i="9"/>
  <c r="AD18" i="27"/>
  <c r="AD41" i="27"/>
  <c r="AD38" i="27"/>
  <c r="AD21" i="27"/>
  <c r="AD51" i="29"/>
  <c r="AD48" i="29"/>
  <c r="AD40" i="29"/>
  <c r="AE32" i="19"/>
  <c r="AE38" i="19"/>
  <c r="AE15" i="19"/>
  <c r="AE46" i="19"/>
  <c r="AE38" i="20"/>
  <c r="AE45" i="20"/>
  <c r="AE26" i="20"/>
  <c r="AD42" i="25"/>
  <c r="AD40" i="25"/>
  <c r="AD43" i="25"/>
  <c r="AD44" i="25"/>
  <c r="AD46" i="28"/>
  <c r="AD53" i="28"/>
  <c r="AE36" i="21"/>
  <c r="AE51" i="22"/>
  <c r="AE42" i="23"/>
  <c r="AE18" i="9"/>
  <c r="AD47" i="27"/>
  <c r="AD46" i="29"/>
  <c r="AE21" i="19"/>
  <c r="AD15" i="25"/>
  <c r="AD46" i="25"/>
  <c r="AD30" i="28"/>
  <c r="AE25" i="21"/>
  <c r="AE41" i="23"/>
  <c r="AD44" i="28"/>
  <c r="AD22" i="28"/>
  <c r="AE32" i="21"/>
  <c r="AD18" i="26"/>
  <c r="AE21" i="23"/>
  <c r="AD21" i="28"/>
  <c r="AD42" i="28"/>
  <c r="AE52" i="21"/>
  <c r="AD29" i="26"/>
  <c r="AD30" i="26"/>
  <c r="AD52" i="28"/>
  <c r="AD32" i="28"/>
  <c r="AE50" i="21"/>
  <c r="AE31" i="21"/>
  <c r="AE40" i="21"/>
  <c r="AE53" i="21"/>
  <c r="AD33" i="26"/>
  <c r="AD52" i="26"/>
  <c r="AD43" i="26"/>
  <c r="AE44" i="22"/>
  <c r="AE49" i="22"/>
  <c r="AE25" i="22"/>
  <c r="AE53" i="22"/>
  <c r="AD50" i="28"/>
  <c r="AD17" i="28"/>
  <c r="AD27" i="28"/>
  <c r="AE23" i="21"/>
  <c r="AE33" i="21"/>
  <c r="AE20" i="21"/>
  <c r="AE48" i="21"/>
  <c r="AD21" i="26"/>
  <c r="AD35" i="26"/>
  <c r="AE22" i="22"/>
  <c r="AE41" i="22"/>
  <c r="AE35" i="22"/>
  <c r="AE31" i="22"/>
  <c r="AE19" i="23"/>
  <c r="AE28" i="23"/>
  <c r="AE45" i="23"/>
  <c r="AD37" i="24"/>
  <c r="AD32" i="24"/>
  <c r="AD49" i="24"/>
  <c r="AD28" i="24"/>
  <c r="AE19" i="9"/>
  <c r="AE52" i="9"/>
  <c r="AE37" i="9"/>
  <c r="AD31" i="27"/>
  <c r="AD33" i="27"/>
  <c r="AD44" i="27"/>
  <c r="AD51" i="27"/>
  <c r="AD29" i="29"/>
  <c r="AD36" i="29"/>
  <c r="AD50" i="29"/>
  <c r="AE48" i="19"/>
  <c r="AE35" i="19"/>
  <c r="AE24" i="19"/>
  <c r="AE34" i="19"/>
  <c r="AE43" i="20"/>
  <c r="AE40" i="20"/>
  <c r="AE36" i="20"/>
  <c r="AD30" i="25"/>
  <c r="AD51" i="25"/>
  <c r="AD24" i="25"/>
  <c r="AD17" i="25"/>
  <c r="AE37" i="21"/>
  <c r="AD54" i="26"/>
  <c r="AD47" i="26"/>
  <c r="AE29" i="22"/>
  <c r="AD47" i="24"/>
  <c r="AD25" i="24"/>
  <c r="AD52" i="27"/>
  <c r="AD32" i="27"/>
  <c r="AE37" i="19"/>
  <c r="AE53" i="20"/>
  <c r="AD37" i="25"/>
  <c r="AD20" i="28"/>
  <c r="AD54" i="28"/>
  <c r="AE49" i="21"/>
  <c r="AD41" i="26"/>
  <c r="AE39" i="22"/>
  <c r="AD26" i="24"/>
  <c r="AE49" i="9"/>
  <c r="AD24" i="27"/>
  <c r="AD19" i="27"/>
  <c r="AD35" i="27"/>
  <c r="AD53" i="29"/>
  <c r="AE45" i="19"/>
  <c r="AE36" i="19"/>
  <c r="AE41" i="20"/>
  <c r="AE50" i="20"/>
  <c r="AD41" i="25"/>
  <c r="AD28" i="25"/>
  <c r="AD33" i="25"/>
  <c r="AD19" i="28"/>
  <c r="AD33" i="28"/>
  <c r="AD51" i="28"/>
  <c r="AE38" i="21"/>
  <c r="AE35" i="21"/>
  <c r="AE51" i="21"/>
  <c r="AD46" i="26"/>
  <c r="AD15" i="26"/>
  <c r="AD23" i="26"/>
  <c r="AE15" i="22"/>
  <c r="AE26" i="22"/>
  <c r="AE30" i="22"/>
  <c r="AE45" i="22"/>
  <c r="AE37" i="23"/>
  <c r="AE29" i="23"/>
  <c r="AE25" i="23"/>
  <c r="AD38" i="24"/>
  <c r="AD45" i="24"/>
  <c r="AD27" i="24"/>
  <c r="AD17" i="24"/>
  <c r="AE47" i="9"/>
  <c r="AE35" i="9"/>
  <c r="AE40" i="9"/>
  <c r="AD34" i="27"/>
  <c r="AD29" i="27"/>
  <c r="AD17" i="27"/>
  <c r="AD37" i="29"/>
  <c r="AD16" i="29"/>
  <c r="AD22" i="29"/>
  <c r="AE42" i="19"/>
  <c r="AE40" i="19"/>
  <c r="AE16" i="19"/>
  <c r="AE42" i="20"/>
  <c r="AE20" i="20"/>
  <c r="AE25" i="20"/>
  <c r="AD32" i="25"/>
  <c r="AD35" i="25"/>
  <c r="AF12" i="23"/>
  <c r="AG11" i="23"/>
  <c r="AF11" i="27"/>
  <c r="AE12" i="27"/>
  <c r="AG11" i="19"/>
  <c r="AF12" i="19"/>
  <c r="AF11" i="24"/>
  <c r="AE12" i="24"/>
  <c r="AF12" i="9"/>
  <c r="AG11" i="9"/>
  <c r="AG11" i="20"/>
  <c r="AF12" i="20"/>
  <c r="AF11" i="26"/>
  <c r="AE12" i="26"/>
  <c r="AG11" i="22"/>
  <c r="AF12" i="22"/>
  <c r="AF11" i="29"/>
  <c r="AE12" i="29"/>
  <c r="AF11" i="28"/>
  <c r="AE12" i="28"/>
  <c r="AF12" i="21"/>
  <c r="AG11" i="21"/>
  <c r="AF11" i="25"/>
  <c r="AE12" i="25"/>
  <c r="AF34" i="23" a="1"/>
  <c r="AF42" i="23" a="1"/>
  <c r="AF32" i="23" a="1"/>
  <c r="AE26" i="27" a="1"/>
  <c r="AE51" i="27" a="1"/>
  <c r="AF38" i="19" a="1"/>
  <c r="AF53" i="19" a="1"/>
  <c r="AF34" i="19" a="1"/>
  <c r="AF42" i="19" a="1"/>
  <c r="AE43" i="24" a="1"/>
  <c r="AF46" i="23" a="1"/>
  <c r="AF44" i="23" a="1"/>
  <c r="AF27" i="23" a="1"/>
  <c r="AF25" i="23" a="1"/>
  <c r="AE25" i="27" a="1"/>
  <c r="AE41" i="27" a="1"/>
  <c r="AE53" i="27" a="1"/>
  <c r="AF29" i="19" a="1"/>
  <c r="AF54" i="19" a="1"/>
  <c r="AF50" i="19" a="1"/>
  <c r="AF33" i="19" a="1"/>
  <c r="AE21" i="24" a="1"/>
  <c r="AE19" i="24" a="1"/>
  <c r="AE34" i="24" a="1"/>
  <c r="AF43" i="9" a="1"/>
  <c r="AF27" i="9" a="1"/>
  <c r="AF28" i="9" a="1"/>
  <c r="AF46" i="9" a="1"/>
  <c r="AF34" i="20" a="1"/>
  <c r="AF30" i="20" a="1"/>
  <c r="AF47" i="20" a="1"/>
  <c r="AE30" i="26" a="1"/>
  <c r="AE43" i="26" a="1"/>
  <c r="AE46" i="26" a="1"/>
  <c r="AE45" i="26" a="1"/>
  <c r="AF36" i="22" a="1"/>
  <c r="AF17" i="22" a="1"/>
  <c r="AF35" i="22" a="1"/>
  <c r="AE22" i="29" a="1"/>
  <c r="AE54" i="29" a="1"/>
  <c r="AE42" i="29" a="1"/>
  <c r="AE24" i="29" a="1"/>
  <c r="AE26" i="28" a="1"/>
  <c r="AE32" i="28" a="1"/>
  <c r="AE46" i="28" a="1"/>
  <c r="AF29" i="21" a="1"/>
  <c r="AF40" i="21" a="1"/>
  <c r="AF34" i="21" a="1"/>
  <c r="AE27" i="25" a="1"/>
  <c r="AE16" i="25" a="1"/>
  <c r="AE37" i="25" a="1"/>
  <c r="AF38" i="23" a="1"/>
  <c r="AF50" i="23" a="1"/>
  <c r="AF28" i="23" a="1"/>
  <c r="AE21" i="27" a="1"/>
  <c r="AE19" i="27" a="1"/>
  <c r="AF22" i="19" a="1"/>
  <c r="AE32" i="24" a="1"/>
  <c r="AE44" i="24" a="1"/>
  <c r="AF29" i="9" a="1"/>
  <c r="AF20" i="20" a="1"/>
  <c r="AE52" i="29" a="1"/>
  <c r="AE31" i="28" a="1"/>
  <c r="AE33" i="28" a="1"/>
  <c r="AF35" i="21" a="1"/>
  <c r="AF20" i="21" a="1"/>
  <c r="AE17" i="25" a="1"/>
  <c r="AE22" i="25" a="1"/>
  <c r="AE51" i="24" a="1"/>
  <c r="AF40" i="23" a="1"/>
  <c r="AE33" i="27" a="1"/>
  <c r="AF45" i="19" a="1"/>
  <c r="AF41" i="19" a="1"/>
  <c r="AF46" i="19" a="1"/>
  <c r="AE42" i="24" a="1"/>
  <c r="AF50" i="9" a="1"/>
  <c r="AF23" i="9" a="1"/>
  <c r="AF51" i="9" a="1"/>
  <c r="AF52" i="20" a="1"/>
  <c r="AF54" i="20" a="1"/>
  <c r="AE16" i="26" a="1"/>
  <c r="AE28" i="26" a="1"/>
  <c r="AE27" i="26" a="1"/>
  <c r="AE20" i="26" a="1"/>
  <c r="AF32" i="22" a="1"/>
  <c r="AF45" i="22" a="1"/>
  <c r="AF48" i="22" a="1"/>
  <c r="AE50" i="29" a="1"/>
  <c r="AE18" i="29" a="1"/>
  <c r="AE33" i="29" a="1"/>
  <c r="AE15" i="28" a="1"/>
  <c r="AF45" i="21" a="1"/>
  <c r="AE15" i="24" a="1"/>
  <c r="AF49" i="9" a="1"/>
  <c r="AF40" i="9" a="1"/>
  <c r="AF33" i="9" a="1"/>
  <c r="AF53" i="9" a="1"/>
  <c r="AF33" i="20" a="1"/>
  <c r="AF38" i="20" a="1"/>
  <c r="AF22" i="20" a="1"/>
  <c r="AE21" i="26" a="1"/>
  <c r="AE33" i="26" a="1"/>
  <c r="AE35" i="26" a="1"/>
  <c r="AE38" i="26" a="1"/>
  <c r="AF16" i="22" a="1"/>
  <c r="AF51" i="22" a="1"/>
  <c r="AF30" i="22" a="1"/>
  <c r="AE17" i="29" a="1"/>
  <c r="AE32" i="29" a="1"/>
  <c r="AE34" i="29" a="1"/>
  <c r="AE23" i="28" a="1"/>
  <c r="AE18" i="28" a="1"/>
  <c r="AE27" i="28" a="1"/>
  <c r="AF43" i="21" a="1"/>
  <c r="AF28" i="21" a="1"/>
  <c r="AF24" i="21" a="1"/>
  <c r="AE15" i="25" a="1"/>
  <c r="AE21" i="25" a="1"/>
  <c r="AE46" i="24" a="1"/>
  <c r="AE41" i="26" a="1"/>
  <c r="AF41" i="22" a="1"/>
  <c r="AE26" i="29" a="1"/>
  <c r="AF51" i="21" a="1"/>
  <c r="AF47" i="23" a="1"/>
  <c r="AF15" i="23" a="1"/>
  <c r="AF19" i="23" a="1"/>
  <c r="AF37" i="23" a="1"/>
  <c r="AE43" i="27" a="1"/>
  <c r="AE39" i="27" a="1"/>
  <c r="AE42" i="27" a="1"/>
  <c r="AF48" i="19" a="1"/>
  <c r="AF36" i="19" a="1"/>
  <c r="AF52" i="19" a="1"/>
  <c r="AF18" i="19" a="1"/>
  <c r="AE39" i="24" a="1"/>
  <c r="AE31" i="29" a="1"/>
  <c r="AF17" i="21" a="1"/>
  <c r="AE23" i="25" a="1"/>
  <c r="AF15" i="9" a="1"/>
  <c r="AF54" i="22" a="1"/>
  <c r="AE38" i="29" a="1"/>
  <c r="AE36" i="28" a="1"/>
  <c r="AF30" i="21" a="1"/>
  <c r="AE34" i="25" a="1"/>
  <c r="AF31" i="23" a="1"/>
  <c r="AF35" i="23" a="1"/>
  <c r="AF29" i="23" a="1"/>
  <c r="AF33" i="23" a="1"/>
  <c r="AE31" i="27" a="1"/>
  <c r="AE28" i="27" a="1"/>
  <c r="AE34" i="27" a="1"/>
  <c r="AF21" i="19" a="1"/>
  <c r="AF20" i="19" a="1"/>
  <c r="AF24" i="19" a="1"/>
  <c r="AF17" i="19" a="1"/>
  <c r="AE38" i="24" a="1"/>
  <c r="AE26" i="24" a="1"/>
  <c r="AE48" i="24" a="1"/>
  <c r="AF48" i="9" a="1"/>
  <c r="AF22" i="9" a="1"/>
  <c r="AF45" i="9" a="1"/>
  <c r="AF25" i="20" a="1"/>
  <c r="AF18" i="20" a="1"/>
  <c r="AF48" i="20" a="1"/>
  <c r="AE31" i="26" a="1"/>
  <c r="AE32" i="26" a="1"/>
  <c r="AE23" i="26" a="1"/>
  <c r="AE40" i="26" a="1"/>
  <c r="AF49" i="22" a="1"/>
  <c r="AF20" i="22" a="1"/>
  <c r="AE49" i="29" a="1"/>
  <c r="AE19" i="29" a="1"/>
  <c r="AE41" i="29" a="1"/>
  <c r="AE39" i="29" a="1"/>
  <c r="AE34" i="28" a="1"/>
  <c r="AE29" i="28" a="1"/>
  <c r="AE19" i="28" a="1"/>
  <c r="AF38" i="21" a="1"/>
  <c r="AF23" i="21" a="1"/>
  <c r="AF31" i="21" a="1"/>
  <c r="AF47" i="21" a="1"/>
  <c r="AE26" i="25" a="1"/>
  <c r="AE39" i="25" a="1"/>
  <c r="AE48" i="25" a="1"/>
  <c r="AF29" i="22" a="1"/>
  <c r="AE54" i="28" a="1"/>
  <c r="AE48" i="28" a="1"/>
  <c r="AF53" i="21" a="1"/>
  <c r="AE32" i="25" a="1"/>
  <c r="AF36" i="23" a="1"/>
  <c r="AF41" i="9" a="1"/>
  <c r="AF44" i="22" a="1"/>
  <c r="AE25" i="28" a="1"/>
  <c r="AF19" i="21" a="1"/>
  <c r="AE43" i="25" a="1"/>
  <c r="AF25" i="9" a="1"/>
  <c r="AF17" i="23" a="1"/>
  <c r="AF18" i="23" a="1"/>
  <c r="AF54" i="23" a="1"/>
  <c r="AF45" i="23" a="1"/>
  <c r="AE47" i="27" a="1"/>
  <c r="AE50" i="27" a="1"/>
  <c r="AE46" i="27" a="1"/>
  <c r="AF25" i="19" a="1"/>
  <c r="AF23" i="19" a="1"/>
  <c r="AF26" i="19" a="1"/>
  <c r="AE28" i="24" a="1"/>
  <c r="AE41" i="24" a="1"/>
  <c r="AE47" i="24" a="1"/>
  <c r="AF17" i="9" a="1"/>
  <c r="AF36" i="9" a="1"/>
  <c r="AF39" i="9" a="1"/>
  <c r="AF54" i="9" a="1"/>
  <c r="AF44" i="20" a="1"/>
  <c r="AF23" i="20" a="1"/>
  <c r="AF39" i="20" a="1"/>
  <c r="AE37" i="26" a="1"/>
  <c r="AE48" i="26" a="1"/>
  <c r="AE17" i="26" a="1"/>
  <c r="AE54" i="26" a="1"/>
  <c r="AF52" i="22" a="1"/>
  <c r="AF46" i="22" a="1"/>
  <c r="AF37" i="22" a="1"/>
  <c r="AE48" i="29" a="1"/>
  <c r="AE45" i="29" a="1"/>
  <c r="AE43" i="29" a="1"/>
  <c r="AE16" i="29" a="1"/>
  <c r="AE20" i="28" a="1"/>
  <c r="AE22" i="28" a="1"/>
  <c r="AF37" i="21" a="1"/>
  <c r="AF21" i="21" a="1"/>
  <c r="AF46" i="21" a="1"/>
  <c r="AF52" i="21" a="1"/>
  <c r="AE40" i="25" a="1"/>
  <c r="AE25" i="25" a="1"/>
  <c r="AF26" i="23" a="1"/>
  <c r="AF52" i="23" a="1"/>
  <c r="AE20" i="27" a="1"/>
  <c r="AE36" i="27" a="1"/>
  <c r="AE30" i="27" a="1"/>
  <c r="AE22" i="27" a="1"/>
  <c r="AF30" i="19" a="1"/>
  <c r="AE52" i="24" a="1"/>
  <c r="AF31" i="9" a="1"/>
  <c r="AF21" i="20" a="1"/>
  <c r="AF28" i="20" a="1"/>
  <c r="AE42" i="26" a="1"/>
  <c r="AE36" i="26" a="1"/>
  <c r="AF19" i="22" a="1"/>
  <c r="AF25" i="22" a="1"/>
  <c r="AE28" i="29" a="1"/>
  <c r="AE17" i="28" a="1"/>
  <c r="AF49" i="21" a="1"/>
  <c r="AF48" i="21" a="1"/>
  <c r="AE24" i="25" a="1"/>
  <c r="AE38" i="25" a="1"/>
  <c r="AF49" i="23" a="1"/>
  <c r="AE44" i="27" a="1"/>
  <c r="AF40" i="19" a="1"/>
  <c r="AE45" i="24" a="1"/>
  <c r="AF29" i="20" a="1"/>
  <c r="AE33" i="25" a="1"/>
  <c r="AF36" i="20" a="1"/>
  <c r="AE41" i="28" a="1"/>
  <c r="AF22" i="21" a="1"/>
  <c r="AE36" i="25" a="1"/>
  <c r="AF41" i="23" a="1"/>
  <c r="AF39" i="23" a="1"/>
  <c r="AE32" i="27" a="1"/>
  <c r="AE54" i="27" a="1"/>
  <c r="AE37" i="27" a="1"/>
  <c r="AF39" i="19" a="1"/>
  <c r="AF35" i="19" a="1"/>
  <c r="AF19" i="19" a="1"/>
  <c r="AE18" i="24" a="1"/>
  <c r="AE50" i="24" a="1"/>
  <c r="AE27" i="24" a="1"/>
  <c r="AE40" i="24" a="1"/>
  <c r="AF35" i="9" a="1"/>
  <c r="AF16" i="9" a="1"/>
  <c r="AF20" i="9" a="1"/>
  <c r="AF19" i="20" a="1"/>
  <c r="AF26" i="20" a="1"/>
  <c r="AF40" i="20" a="1"/>
  <c r="AE51" i="26" a="1"/>
  <c r="AE25" i="26" a="1"/>
  <c r="AE15" i="26" a="1"/>
  <c r="AF27" i="22" a="1"/>
  <c r="AF26" i="22" a="1"/>
  <c r="AF18" i="22" a="1"/>
  <c r="AF23" i="22" a="1"/>
  <c r="AE25" i="29" a="1"/>
  <c r="AE53" i="29" a="1"/>
  <c r="AE46" i="29" a="1"/>
  <c r="AE16" i="28" a="1"/>
  <c r="AE21" i="28" a="1"/>
  <c r="AE52" i="28" a="1"/>
  <c r="AE38" i="28" a="1"/>
  <c r="AF32" i="21" a="1"/>
  <c r="AF26" i="21" a="1"/>
  <c r="AF39" i="21" a="1"/>
  <c r="AE54" i="25" a="1"/>
  <c r="AE19" i="25" a="1"/>
  <c r="AE46" i="25" a="1"/>
  <c r="AE30" i="25" a="1"/>
  <c r="AE17" i="24" a="1"/>
  <c r="AF42" i="9" a="1"/>
  <c r="AF45" i="20" a="1"/>
  <c r="AF43" i="23" a="1"/>
  <c r="AE16" i="24" a="1"/>
  <c r="AF27" i="20" a="1"/>
  <c r="AE40" i="29" a="1"/>
  <c r="AF16" i="20" a="1"/>
  <c r="AF53" i="23" a="1"/>
  <c r="AF27" i="19" a="1"/>
  <c r="AF43" i="19" a="1"/>
  <c r="AE22" i="24" a="1"/>
  <c r="AE29" i="24" a="1"/>
  <c r="AF38" i="9" a="1"/>
  <c r="AF17" i="20" a="1"/>
  <c r="AE49" i="26" a="1"/>
  <c r="AF21" i="22" a="1"/>
  <c r="AE51" i="29" a="1"/>
  <c r="AE53" i="28" a="1"/>
  <c r="AE42" i="25" a="1"/>
  <c r="AE15" i="27" a="1"/>
  <c r="AF32" i="9" a="1"/>
  <c r="AE39" i="26" a="1"/>
  <c r="AF24" i="22" a="1"/>
  <c r="AF16" i="23" a="1"/>
  <c r="AF30" i="23" a="1"/>
  <c r="AF21" i="23" a="1"/>
  <c r="AE40" i="27" a="1"/>
  <c r="AE16" i="27" a="1"/>
  <c r="AE23" i="27" a="1"/>
  <c r="AE18" i="27" a="1"/>
  <c r="AF37" i="19" a="1"/>
  <c r="AF49" i="19" a="1"/>
  <c r="AF51" i="19" a="1"/>
  <c r="AE49" i="24" a="1"/>
  <c r="AE54" i="24" a="1"/>
  <c r="AE53" i="24" a="1"/>
  <c r="AE36" i="24" a="1"/>
  <c r="AF44" i="9" a="1"/>
  <c r="AF30" i="9" a="1"/>
  <c r="AF19" i="9" a="1"/>
  <c r="AF37" i="20" a="1"/>
  <c r="AF31" i="20" a="1"/>
  <c r="AF49" i="20" a="1"/>
  <c r="AE52" i="26" a="1"/>
  <c r="AE34" i="26" a="1"/>
  <c r="AF39" i="22" a="1"/>
  <c r="AF38" i="22" a="1"/>
  <c r="AF28" i="22" a="1"/>
  <c r="AF40" i="22" a="1"/>
  <c r="AE47" i="29" a="1"/>
  <c r="AE35" i="29" a="1"/>
  <c r="AE21" i="29" a="1"/>
  <c r="AE42" i="28" a="1"/>
  <c r="AE40" i="28" a="1"/>
  <c r="AE44" i="28" a="1"/>
  <c r="AE37" i="28" a="1"/>
  <c r="AF25" i="21" a="1"/>
  <c r="AF42" i="21" a="1"/>
  <c r="AF16" i="21" a="1"/>
  <c r="AE35" i="25" a="1"/>
  <c r="AE44" i="25" a="1"/>
  <c r="AE41" i="25" a="1"/>
  <c r="AE49" i="25" a="1"/>
  <c r="AF24" i="23" a="1"/>
  <c r="AF20" i="23" a="1"/>
  <c r="AF23" i="23" a="1"/>
  <c r="AE52" i="27" a="1"/>
  <c r="AE24" i="27" a="1"/>
  <c r="AF44" i="19" a="1"/>
  <c r="AF47" i="19" a="1"/>
  <c r="AF28" i="19" a="1"/>
  <c r="AE31" i="24" a="1"/>
  <c r="AE37" i="24" a="1"/>
  <c r="AF52" i="9" a="1"/>
  <c r="AE44" i="29" a="1"/>
  <c r="AE49" i="28" a="1"/>
  <c r="AE28" i="28" a="1"/>
  <c r="AF50" i="21" a="1"/>
  <c r="AF27" i="21" a="1"/>
  <c r="AF18" i="21" a="1"/>
  <c r="AE20" i="25" a="1"/>
  <c r="AE53" i="25" a="1"/>
  <c r="AE18" i="25" a="1"/>
  <c r="AE38" i="27" a="1"/>
  <c r="AE24" i="24" a="1"/>
  <c r="AF51" i="20" a="1"/>
  <c r="AE53" i="26" a="1"/>
  <c r="AE29" i="29" a="1"/>
  <c r="AE23" i="29" a="1"/>
  <c r="AE35" i="28" a="1"/>
  <c r="AF46" i="20" a="1"/>
  <c r="AE37" i="29" a="1"/>
  <c r="AF48" i="23" a="1"/>
  <c r="AF22" i="23" a="1"/>
  <c r="AF51" i="23" a="1"/>
  <c r="AE45" i="27" a="1"/>
  <c r="AE27" i="27" a="1"/>
  <c r="AE48" i="27" a="1"/>
  <c r="AE49" i="27" a="1"/>
  <c r="AF32" i="19" a="1"/>
  <c r="AF15" i="19" a="1"/>
  <c r="AF16" i="19" a="1"/>
  <c r="AE25" i="24" a="1"/>
  <c r="AE20" i="24" a="1"/>
  <c r="AE30" i="24" a="1"/>
  <c r="AF21" i="9" a="1"/>
  <c r="AF37" i="9" a="1"/>
  <c r="AF18" i="9" a="1"/>
  <c r="AF24" i="20" a="1"/>
  <c r="AF43" i="20" a="1"/>
  <c r="AF50" i="20" a="1"/>
  <c r="AF41" i="20" a="1"/>
  <c r="AE26" i="26" a="1"/>
  <c r="AE19" i="26" a="1"/>
  <c r="AE29" i="26" a="1"/>
  <c r="AF33" i="22" a="1"/>
  <c r="AF50" i="22" a="1"/>
  <c r="AF42" i="22" a="1"/>
  <c r="AF15" i="22" a="1"/>
  <c r="AE36" i="29" a="1"/>
  <c r="AE30" i="29" a="1"/>
  <c r="AE20" i="29" a="1"/>
  <c r="AE51" i="28" a="1"/>
  <c r="AE43" i="28" a="1"/>
  <c r="AE39" i="28" a="1"/>
  <c r="AE24" i="28" a="1"/>
  <c r="AF54" i="21" a="1"/>
  <c r="AF44" i="21" a="1"/>
  <c r="AF36" i="21" a="1"/>
  <c r="AE31" i="25" a="1"/>
  <c r="AE28" i="25" a="1"/>
  <c r="AE45" i="25" a="1"/>
  <c r="AE51" i="25" a="1"/>
  <c r="AE17" i="27" a="1"/>
  <c r="AE33" i="24" a="1"/>
  <c r="AF15" i="20" a="1"/>
  <c r="AE15" i="29" a="1"/>
  <c r="AE50" i="28" a="1"/>
  <c r="AF47" i="22" a="1"/>
  <c r="AE47" i="28" a="1"/>
  <c r="AF15" i="21" a="1"/>
  <c r="AE29" i="25" a="1"/>
  <c r="AF47" i="9" a="1"/>
  <c r="AE47" i="26" a="1"/>
  <c r="AE18" i="26" a="1"/>
  <c r="AF31" i="22" a="1"/>
  <c r="AE45" i="28" a="1"/>
  <c r="AF33" i="21" a="1"/>
  <c r="AE35" i="27" a="1"/>
  <c r="AE35" i="24" a="1"/>
  <c r="AF24" i="9" a="1"/>
  <c r="AF26" i="9" a="1"/>
  <c r="AF53" i="20" a="1"/>
  <c r="AF32" i="20" a="1"/>
  <c r="AF42" i="20" a="1"/>
  <c r="AE44" i="26" a="1"/>
  <c r="AE50" i="26" a="1"/>
  <c r="AF43" i="22" a="1"/>
  <c r="AF53" i="22" a="1"/>
  <c r="AF22" i="22" a="1"/>
  <c r="AF34" i="22" a="1"/>
  <c r="AE27" i="29" a="1"/>
  <c r="AE30" i="28" a="1"/>
  <c r="AE50" i="25" a="1"/>
  <c r="AE29" i="27" a="1"/>
  <c r="AF31" i="19" a="1"/>
  <c r="AF34" i="9" a="1"/>
  <c r="AF35" i="20" a="1"/>
  <c r="AE24" i="26" a="1"/>
  <c r="AF41" i="21" a="1"/>
  <c r="AE52" i="25" a="1"/>
  <c r="AE23" i="24" a="1"/>
  <c r="AE22" i="26" a="1"/>
  <c r="AE47" i="25" a="1"/>
  <c r="AE47" i="25" l="1"/>
  <c r="AE22" i="26"/>
  <c r="AE23" i="24"/>
  <c r="AE52" i="25"/>
  <c r="AF41" i="21"/>
  <c r="AE24" i="26"/>
  <c r="AF35" i="20"/>
  <c r="AF34" i="9"/>
  <c r="AF31" i="19"/>
  <c r="AE29" i="27"/>
  <c r="AE50" i="25"/>
  <c r="AE30" i="28"/>
  <c r="AE27" i="29"/>
  <c r="AF34" i="22"/>
  <c r="AF22" i="22"/>
  <c r="AF53" i="22"/>
  <c r="AF43" i="22"/>
  <c r="AE50" i="26"/>
  <c r="AE44" i="26"/>
  <c r="AF42" i="20"/>
  <c r="AF32" i="20"/>
  <c r="AF53" i="20"/>
  <c r="AF26" i="9"/>
  <c r="AF24" i="9"/>
  <c r="AE35" i="24"/>
  <c r="AE35" i="27"/>
  <c r="AF33" i="21"/>
  <c r="AE45" i="28"/>
  <c r="AF31" i="22"/>
  <c r="AE18" i="26"/>
  <c r="AE47" i="26"/>
  <c r="AF47" i="9"/>
  <c r="AE29" i="25"/>
  <c r="AF15" i="21"/>
  <c r="AE47" i="28"/>
  <c r="AF47" i="22"/>
  <c r="AE50" i="28"/>
  <c r="AE15" i="29"/>
  <c r="AF15" i="20"/>
  <c r="AE33" i="24"/>
  <c r="AE17" i="27"/>
  <c r="AE51" i="25"/>
  <c r="AE45" i="25"/>
  <c r="AE28" i="25"/>
  <c r="AE31" i="25"/>
  <c r="AF36" i="21"/>
  <c r="AF44" i="21"/>
  <c r="AF54" i="21"/>
  <c r="AE24" i="28"/>
  <c r="AE39" i="28"/>
  <c r="AE43" i="28"/>
  <c r="AE51" i="28"/>
  <c r="AE20" i="29"/>
  <c r="AE30" i="29"/>
  <c r="AE36" i="29"/>
  <c r="AF15" i="22"/>
  <c r="AF42" i="22"/>
  <c r="AF50" i="22"/>
  <c r="AF33" i="22"/>
  <c r="AE29" i="26"/>
  <c r="AE19" i="26"/>
  <c r="AE26" i="26"/>
  <c r="AF41" i="20"/>
  <c r="AF50" i="20"/>
  <c r="AF43" i="20"/>
  <c r="AF24" i="20"/>
  <c r="AF18" i="9"/>
  <c r="AF37" i="9"/>
  <c r="AF21" i="9"/>
  <c r="AE30" i="24"/>
  <c r="AE20" i="24"/>
  <c r="AE25" i="24"/>
  <c r="AF16" i="19"/>
  <c r="AF15" i="19"/>
  <c r="AF32" i="19"/>
  <c r="AE49" i="27"/>
  <c r="AE48" i="27"/>
  <c r="AE27" i="27"/>
  <c r="AE45" i="27"/>
  <c r="AF51" i="23"/>
  <c r="AF22" i="23"/>
  <c r="AF48" i="23"/>
  <c r="AE37" i="29"/>
  <c r="AF46" i="20"/>
  <c r="AE35" i="28"/>
  <c r="AE23" i="29"/>
  <c r="AE29" i="29"/>
  <c r="AE53" i="26"/>
  <c r="AF51" i="20"/>
  <c r="AE24" i="24"/>
  <c r="AE38" i="27"/>
  <c r="AE18" i="25"/>
  <c r="AE53" i="25"/>
  <c r="AE20" i="25"/>
  <c r="AF18" i="21"/>
  <c r="AF27" i="21"/>
  <c r="AF50" i="21"/>
  <c r="AE28" i="28"/>
  <c r="AE49" i="28"/>
  <c r="AE44" i="29"/>
  <c r="AF52" i="9"/>
  <c r="AE37" i="24"/>
  <c r="AE31" i="24"/>
  <c r="AF28" i="19"/>
  <c r="AF47" i="19"/>
  <c r="AF44" i="19"/>
  <c r="AE24" i="27"/>
  <c r="AE52" i="27"/>
  <c r="AF23" i="23"/>
  <c r="AF20" i="23"/>
  <c r="AF24" i="23"/>
  <c r="AE49" i="25"/>
  <c r="AE41" i="25"/>
  <c r="AE44" i="25"/>
  <c r="AE35" i="25"/>
  <c r="AF16" i="21"/>
  <c r="AF42" i="21"/>
  <c r="AF25" i="21"/>
  <c r="AE37" i="28"/>
  <c r="AE44" i="28"/>
  <c r="AE40" i="28"/>
  <c r="AE42" i="28"/>
  <c r="AE21" i="29"/>
  <c r="AE35" i="29"/>
  <c r="AE47" i="29"/>
  <c r="AF40" i="22"/>
  <c r="AF28" i="22"/>
  <c r="AF38" i="22"/>
  <c r="AF39" i="22"/>
  <c r="AE34" i="26"/>
  <c r="AE52" i="26"/>
  <c r="AF49" i="20"/>
  <c r="AF31" i="20"/>
  <c r="AF37" i="20"/>
  <c r="AF19" i="9"/>
  <c r="AF30" i="9"/>
  <c r="AF44" i="9"/>
  <c r="AE36" i="24"/>
  <c r="AE53" i="24"/>
  <c r="AE54" i="24"/>
  <c r="AE49" i="24"/>
  <c r="AF51" i="19"/>
  <c r="AF49" i="19"/>
  <c r="AF37" i="19"/>
  <c r="AE18" i="27"/>
  <c r="AE23" i="27"/>
  <c r="AE16" i="27"/>
  <c r="AE40" i="27"/>
  <c r="AF21" i="23"/>
  <c r="AF30" i="23"/>
  <c r="AF16" i="23"/>
  <c r="AF24" i="22"/>
  <c r="AE39" i="26"/>
  <c r="AF32" i="9"/>
  <c r="AE15" i="27"/>
  <c r="AE42" i="25"/>
  <c r="AE53" i="28"/>
  <c r="AE51" i="29"/>
  <c r="AF21" i="22"/>
  <c r="AE49" i="26"/>
  <c r="AF17" i="20"/>
  <c r="AF38" i="9"/>
  <c r="AE29" i="24"/>
  <c r="AE22" i="24"/>
  <c r="AF43" i="19"/>
  <c r="AF27" i="19"/>
  <c r="AF53" i="23"/>
  <c r="AF16" i="20"/>
  <c r="AE40" i="29"/>
  <c r="AF27" i="20"/>
  <c r="AE16" i="24"/>
  <c r="AF43" i="23"/>
  <c r="AF45" i="20"/>
  <c r="AF42" i="9"/>
  <c r="AE17" i="24"/>
  <c r="AE30" i="25"/>
  <c r="AE46" i="25"/>
  <c r="AE19" i="25"/>
  <c r="AE54" i="25"/>
  <c r="AF39" i="21"/>
  <c r="AF26" i="21"/>
  <c r="AF32" i="21"/>
  <c r="AE38" i="28"/>
  <c r="AE52" i="28"/>
  <c r="AE21" i="28"/>
  <c r="AE16" i="28"/>
  <c r="AE46" i="29"/>
  <c r="AE53" i="29"/>
  <c r="AE25" i="29"/>
  <c r="AF23" i="22"/>
  <c r="AF18" i="22"/>
  <c r="AF26" i="22"/>
  <c r="AF27" i="22"/>
  <c r="AE15" i="26"/>
  <c r="AE25" i="26"/>
  <c r="AE51" i="26"/>
  <c r="AF40" i="20"/>
  <c r="AF26" i="20"/>
  <c r="AF19" i="20"/>
  <c r="AF20" i="9"/>
  <c r="AF16" i="9"/>
  <c r="AF35" i="9"/>
  <c r="AE40" i="24"/>
  <c r="AE27" i="24"/>
  <c r="AE50" i="24"/>
  <c r="AE18" i="24"/>
  <c r="AF19" i="19"/>
  <c r="AF35" i="19"/>
  <c r="AF39" i="19"/>
  <c r="AE37" i="27"/>
  <c r="AE54" i="27"/>
  <c r="AE32" i="27"/>
  <c r="AF39" i="23"/>
  <c r="AF41" i="23"/>
  <c r="AE36" i="25"/>
  <c r="AF22" i="21"/>
  <c r="AE41" i="28"/>
  <c r="AF36" i="20"/>
  <c r="AE33" i="25"/>
  <c r="AF29" i="20"/>
  <c r="AE45" i="24"/>
  <c r="AF40" i="19"/>
  <c r="AE44" i="27"/>
  <c r="AF49" i="23"/>
  <c r="AE38" i="25"/>
  <c r="AE24" i="25"/>
  <c r="AF48" i="21"/>
  <c r="AF49" i="21"/>
  <c r="AE17" i="28"/>
  <c r="AE28" i="29"/>
  <c r="AF25" i="22"/>
  <c r="AF19" i="22"/>
  <c r="AE36" i="26"/>
  <c r="AE42" i="26"/>
  <c r="AF28" i="20"/>
  <c r="AF21" i="20"/>
  <c r="AF31" i="9"/>
  <c r="AE52" i="24"/>
  <c r="AF30" i="19"/>
  <c r="AE22" i="27"/>
  <c r="AE30" i="27"/>
  <c r="AE36" i="27"/>
  <c r="AE20" i="27"/>
  <c r="AF52" i="23"/>
  <c r="AF26" i="23"/>
  <c r="AE25" i="25"/>
  <c r="AE40" i="25"/>
  <c r="AF52" i="21"/>
  <c r="AF46" i="21"/>
  <c r="AF21" i="21"/>
  <c r="AF37" i="21"/>
  <c r="AE22" i="28"/>
  <c r="AE20" i="28"/>
  <c r="AE16" i="29"/>
  <c r="AE43" i="29"/>
  <c r="AE45" i="29"/>
  <c r="AE48" i="29"/>
  <c r="AF37" i="22"/>
  <c r="AF46" i="22"/>
  <c r="AF52" i="22"/>
  <c r="AE54" i="26"/>
  <c r="AE17" i="26"/>
  <c r="AE48" i="26"/>
  <c r="AE37" i="26"/>
  <c r="AF39" i="20"/>
  <c r="AF23" i="20"/>
  <c r="AF44" i="20"/>
  <c r="AF54" i="9"/>
  <c r="AF39" i="9"/>
  <c r="AF36" i="9"/>
  <c r="AF17" i="9"/>
  <c r="AE47" i="24"/>
  <c r="AE41" i="24"/>
  <c r="AE28" i="24"/>
  <c r="AF26" i="19"/>
  <c r="AF23" i="19"/>
  <c r="AF25" i="19"/>
  <c r="AE46" i="27"/>
  <c r="AE50" i="27"/>
  <c r="AE47" i="27"/>
  <c r="AF45" i="23"/>
  <c r="AF54" i="23"/>
  <c r="AF18" i="23"/>
  <c r="AF17" i="23"/>
  <c r="AF25" i="9"/>
  <c r="AE43" i="25"/>
  <c r="AF19" i="21"/>
  <c r="AE25" i="28"/>
  <c r="AF44" i="22"/>
  <c r="AF41" i="9"/>
  <c r="AF36" i="23"/>
  <c r="AE32" i="25"/>
  <c r="AF53" i="21"/>
  <c r="AE48" i="28"/>
  <c r="AE54" i="28"/>
  <c r="AF29" i="22"/>
  <c r="AE48" i="25"/>
  <c r="AE39" i="25"/>
  <c r="AE26" i="25"/>
  <c r="AF47" i="21"/>
  <c r="AF31" i="21"/>
  <c r="AF23" i="21"/>
  <c r="AF38" i="21"/>
  <c r="AE19" i="28"/>
  <c r="AE29" i="28"/>
  <c r="AE34" i="28"/>
  <c r="AE39" i="29"/>
  <c r="AE41" i="29"/>
  <c r="AE19" i="29"/>
  <c r="AE49" i="29"/>
  <c r="AF20" i="22"/>
  <c r="AF49" i="22"/>
  <c r="AE40" i="26"/>
  <c r="AE23" i="26"/>
  <c r="AE32" i="26"/>
  <c r="AE31" i="26"/>
  <c r="AF48" i="20"/>
  <c r="AF18" i="20"/>
  <c r="AF25" i="20"/>
  <c r="AF45" i="9"/>
  <c r="AF22" i="9"/>
  <c r="AF48" i="9"/>
  <c r="AE48" i="24"/>
  <c r="AE26" i="24"/>
  <c r="AE38" i="24"/>
  <c r="AF17" i="19"/>
  <c r="AF24" i="19"/>
  <c r="AF20" i="19"/>
  <c r="AF21" i="19"/>
  <c r="AE34" i="27"/>
  <c r="AE28" i="27"/>
  <c r="AE31" i="27"/>
  <c r="AF33" i="23"/>
  <c r="AF29" i="23"/>
  <c r="AF35" i="23"/>
  <c r="AF31" i="23"/>
  <c r="AE34" i="25"/>
  <c r="AF30" i="21"/>
  <c r="AE36" i="28"/>
  <c r="AE38" i="29"/>
  <c r="AF54" i="22"/>
  <c r="AF15" i="9"/>
  <c r="AE23" i="25"/>
  <c r="AF17" i="21"/>
  <c r="AE31" i="29"/>
  <c r="AE39" i="24"/>
  <c r="AF18" i="19"/>
  <c r="AF52" i="19"/>
  <c r="AF36" i="19"/>
  <c r="AF48" i="19"/>
  <c r="AE42" i="27"/>
  <c r="AE39" i="27"/>
  <c r="AE43" i="27"/>
  <c r="AF37" i="23"/>
  <c r="AF19" i="23"/>
  <c r="AF15" i="23"/>
  <c r="AF47" i="23"/>
  <c r="AF51" i="21"/>
  <c r="AE26" i="29"/>
  <c r="AF41" i="22"/>
  <c r="AE41" i="26"/>
  <c r="AE46" i="24"/>
  <c r="AE21" i="25"/>
  <c r="AE15" i="25"/>
  <c r="AF24" i="21"/>
  <c r="AF28" i="21"/>
  <c r="AF43" i="21"/>
  <c r="AE27" i="28"/>
  <c r="AE18" i="28"/>
  <c r="AE23" i="28"/>
  <c r="AE34" i="29"/>
  <c r="AE32" i="29"/>
  <c r="AE17" i="29"/>
  <c r="AF30" i="22"/>
  <c r="AF51" i="22"/>
  <c r="AF16" i="22"/>
  <c r="AE38" i="26"/>
  <c r="AE35" i="26"/>
  <c r="AE33" i="26"/>
  <c r="AE21" i="26"/>
  <c r="AF22" i="20"/>
  <c r="AF38" i="20"/>
  <c r="AF33" i="20"/>
  <c r="AF53" i="9"/>
  <c r="AF33" i="9"/>
  <c r="AF40" i="9"/>
  <c r="AF49" i="9"/>
  <c r="AE15" i="24"/>
  <c r="AF45" i="21"/>
  <c r="AE15" i="28"/>
  <c r="AE33" i="29"/>
  <c r="AE18" i="29"/>
  <c r="AE50" i="29"/>
  <c r="AF48" i="22"/>
  <c r="AF45" i="22"/>
  <c r="AF32" i="22"/>
  <c r="AE20" i="26"/>
  <c r="AE27" i="26"/>
  <c r="AE28" i="26"/>
  <c r="AE16" i="26"/>
  <c r="AF54" i="20"/>
  <c r="AF52" i="20"/>
  <c r="AF51" i="9"/>
  <c r="AF23" i="9"/>
  <c r="AF50" i="9"/>
  <c r="AE42" i="24"/>
  <c r="AF46" i="19"/>
  <c r="AF41" i="19"/>
  <c r="AF45" i="19"/>
  <c r="AE33" i="27"/>
  <c r="AF40" i="23"/>
  <c r="AE51" i="24"/>
  <c r="AE22" i="25"/>
  <c r="AE17" i="25"/>
  <c r="AF20" i="21"/>
  <c r="AF35" i="21"/>
  <c r="AE33" i="28"/>
  <c r="AE31" i="28"/>
  <c r="AE52" i="29"/>
  <c r="AF20" i="20"/>
  <c r="AF29" i="9"/>
  <c r="AE44" i="24"/>
  <c r="AE32" i="24"/>
  <c r="AF22" i="19"/>
  <c r="AE19" i="27"/>
  <c r="AE21" i="27"/>
  <c r="AF28" i="23"/>
  <c r="AF50" i="23"/>
  <c r="AF38" i="23"/>
  <c r="AE37" i="25"/>
  <c r="AE16" i="25"/>
  <c r="AE27" i="25"/>
  <c r="AF34" i="21"/>
  <c r="AF40" i="21"/>
  <c r="AF29" i="21"/>
  <c r="AE46" i="28"/>
  <c r="AE32" i="28"/>
  <c r="AE26" i="28"/>
  <c r="AE24" i="29"/>
  <c r="AE42" i="29"/>
  <c r="AE54" i="29"/>
  <c r="AE22" i="29"/>
  <c r="AF35" i="22"/>
  <c r="AF17" i="22"/>
  <c r="AF36" i="22"/>
  <c r="AE45" i="26"/>
  <c r="AE46" i="26"/>
  <c r="AE43" i="26"/>
  <c r="AE30" i="26"/>
  <c r="AF47" i="20"/>
  <c r="AF30" i="20"/>
  <c r="AF34" i="20"/>
  <c r="AF46" i="9"/>
  <c r="AF28" i="9"/>
  <c r="AF27" i="9"/>
  <c r="AF43" i="9"/>
  <c r="AE34" i="24"/>
  <c r="AE19" i="24"/>
  <c r="AE21" i="24"/>
  <c r="AF33" i="19"/>
  <c r="AF50" i="19"/>
  <c r="AF54" i="19"/>
  <c r="AF29" i="19"/>
  <c r="AE53" i="27"/>
  <c r="AE41" i="27"/>
  <c r="AE25" i="27"/>
  <c r="AF25" i="23"/>
  <c r="AF27" i="23"/>
  <c r="AF44" i="23"/>
  <c r="AF46" i="23"/>
  <c r="AE43" i="24"/>
  <c r="AF42" i="19"/>
  <c r="AF34" i="19"/>
  <c r="AF53" i="19"/>
  <c r="AF38" i="19"/>
  <c r="AE51" i="27"/>
  <c r="AE26" i="27"/>
  <c r="AF32" i="23"/>
  <c r="AF42" i="23"/>
  <c r="AF34" i="23"/>
  <c r="AG12" i="22"/>
  <c r="AH11" i="22"/>
  <c r="AG11" i="26"/>
  <c r="AF12" i="26"/>
  <c r="AF12" i="24"/>
  <c r="AG11" i="24"/>
  <c r="AG12" i="20"/>
  <c r="AH11" i="20"/>
  <c r="AF12" i="27"/>
  <c r="AG11" i="27"/>
  <c r="AG12" i="23"/>
  <c r="AH11" i="23"/>
  <c r="AF12" i="29"/>
  <c r="AG11" i="29"/>
  <c r="AF12" i="25"/>
  <c r="AG11" i="25"/>
  <c r="AF12" i="28"/>
  <c r="AG11" i="28"/>
  <c r="AG12" i="19"/>
  <c r="AH11" i="19"/>
  <c r="AH11" i="9"/>
  <c r="AG12" i="9"/>
  <c r="AG12" i="21"/>
  <c r="AH11" i="21"/>
  <c r="AG30" i="22" a="1"/>
  <c r="AG44" i="22" a="1"/>
  <c r="AG43" i="22" a="1"/>
  <c r="AG31" i="22" a="1"/>
  <c r="AF15" i="26" a="1"/>
  <c r="AF43" i="26" a="1"/>
  <c r="AF48" i="24" a="1"/>
  <c r="AF24" i="24" a="1"/>
  <c r="AF17" i="24" a="1"/>
  <c r="AF54" i="24" a="1"/>
  <c r="AG23" i="20" a="1"/>
  <c r="AG44" i="20" a="1"/>
  <c r="AG46" i="20" a="1"/>
  <c r="AF38" i="27" a="1"/>
  <c r="AF23" i="27" a="1"/>
  <c r="AF39" i="27" a="1"/>
  <c r="AF50" i="27" a="1"/>
  <c r="AG49" i="23" a="1"/>
  <c r="AG18" i="23" a="1"/>
  <c r="AG41" i="23" a="1"/>
  <c r="AF30" i="29" a="1"/>
  <c r="AF41" i="29" a="1"/>
  <c r="AF44" i="29" a="1"/>
  <c r="AF29" i="25" a="1"/>
  <c r="AF18" i="25" a="1"/>
  <c r="AF42" i="25" a="1"/>
  <c r="AF32" i="28" a="1"/>
  <c r="AF28" i="28" a="1"/>
  <c r="AF24" i="28" a="1"/>
  <c r="AG35" i="19" a="1"/>
  <c r="AG34" i="19" a="1"/>
  <c r="AG53" i="19" a="1"/>
  <c r="AG18" i="9" a="1"/>
  <c r="AG53" i="9" a="1"/>
  <c r="AG35" i="9" a="1"/>
  <c r="AG41" i="21" a="1"/>
  <c r="AG21" i="21" a="1"/>
  <c r="AG20" i="21" a="1"/>
  <c r="AG24" i="22" a="1"/>
  <c r="AF32" i="26" a="1"/>
  <c r="AF26" i="27" a="1"/>
  <c r="AG52" i="23" a="1"/>
  <c r="AF36" i="29" a="1"/>
  <c r="AF15" i="25" a="1"/>
  <c r="AG23" i="9" a="1"/>
  <c r="AG36" i="20" a="1"/>
  <c r="AF16" i="27" a="1"/>
  <c r="AF18" i="28" a="1"/>
  <c r="AG38" i="21" a="1"/>
  <c r="AF41" i="27" a="1"/>
  <c r="AF20" i="29" a="1"/>
  <c r="AF25" i="29" a="1"/>
  <c r="AF27" i="25" a="1"/>
  <c r="AF50" i="25" a="1"/>
  <c r="AF39" i="28" a="1"/>
  <c r="AG47" i="19" a="1"/>
  <c r="AG32" i="19" a="1"/>
  <c r="AG45" i="9" a="1"/>
  <c r="AG51" i="21" a="1"/>
  <c r="AF29" i="27" a="1"/>
  <c r="AG17" i="23" a="1"/>
  <c r="AF26" i="29" a="1"/>
  <c r="AF54" i="25" a="1"/>
  <c r="AG28" i="19" a="1"/>
  <c r="AG19" i="9" a="1"/>
  <c r="AG23" i="21" a="1"/>
  <c r="AG15" i="21" a="1"/>
  <c r="AG19" i="22" a="1"/>
  <c r="AG52" i="22" a="1"/>
  <c r="AG53" i="22" a="1"/>
  <c r="AG48" i="22" a="1"/>
  <c r="AF19" i="26" a="1"/>
  <c r="AF30" i="26" a="1"/>
  <c r="AF37" i="26" a="1"/>
  <c r="AF15" i="24" a="1"/>
  <c r="AF16" i="24" a="1"/>
  <c r="AF50" i="24" a="1"/>
  <c r="AF47" i="24" a="1"/>
  <c r="AG52" i="20" a="1"/>
  <c r="AG25" i="22" a="1"/>
  <c r="AG20" i="22" a="1"/>
  <c r="AG45" i="22" a="1"/>
  <c r="AF47" i="26" a="1"/>
  <c r="AF49" i="26" a="1"/>
  <c r="AF18" i="26" a="1"/>
  <c r="AF49" i="24" a="1"/>
  <c r="AF45" i="24" a="1"/>
  <c r="AF20" i="24" a="1"/>
  <c r="AF26" i="24" a="1"/>
  <c r="AG37" i="20" a="1"/>
  <c r="AG31" i="20" a="1"/>
  <c r="AG50" i="20" a="1"/>
  <c r="AF18" i="27" a="1"/>
  <c r="AF35" i="27" a="1"/>
  <c r="AF51" i="27" a="1"/>
  <c r="AF25" i="27" a="1"/>
  <c r="AG30" i="23" a="1"/>
  <c r="AG53" i="23" a="1"/>
  <c r="AG34" i="23" a="1"/>
  <c r="AF31" i="29" a="1"/>
  <c r="AF22" i="29" a="1"/>
  <c r="AF52" i="29" a="1"/>
  <c r="AF47" i="29" a="1"/>
  <c r="AF24" i="25" a="1"/>
  <c r="AF25" i="25" a="1"/>
  <c r="AF46" i="25" a="1"/>
  <c r="AF25" i="28" a="1"/>
  <c r="AF36" i="28" a="1"/>
  <c r="AF19" i="28" a="1"/>
  <c r="AF33" i="28" a="1"/>
  <c r="AG17" i="19" a="1"/>
  <c r="AG38" i="19" a="1"/>
  <c r="AG43" i="19" a="1"/>
  <c r="AG32" i="9" a="1"/>
  <c r="AG40" i="9" a="1"/>
  <c r="AG30" i="21" a="1"/>
  <c r="AG28" i="22" a="1"/>
  <c r="AG15" i="22" a="1"/>
  <c r="AG39" i="22" a="1"/>
  <c r="AG23" i="22" a="1"/>
  <c r="AF52" i="26" a="1"/>
  <c r="AF53" i="26" a="1"/>
  <c r="AF50" i="26" a="1"/>
  <c r="AF30" i="24" a="1"/>
  <c r="AF28" i="24" a="1"/>
  <c r="AF43" i="24" a="1"/>
  <c r="AF39" i="24" a="1"/>
  <c r="AG43" i="20" a="1"/>
  <c r="AG20" i="20" a="1"/>
  <c r="AG15" i="20" a="1"/>
  <c r="AF33" i="27" a="1"/>
  <c r="AF15" i="27" a="1"/>
  <c r="AF40" i="27" a="1"/>
  <c r="AF19" i="27" a="1"/>
  <c r="AG19" i="23" a="1"/>
  <c r="AG40" i="23" a="1"/>
  <c r="AG16" i="23" a="1"/>
  <c r="AF51" i="29" a="1"/>
  <c r="AF32" i="29" a="1"/>
  <c r="AF29" i="29" a="1"/>
  <c r="AF16" i="29" a="1"/>
  <c r="AF22" i="25" a="1"/>
  <c r="AF34" i="25" a="1"/>
  <c r="AF32" i="25" a="1"/>
  <c r="AF21" i="28" a="1"/>
  <c r="AF20" i="28" a="1"/>
  <c r="AF26" i="28" a="1"/>
  <c r="AF38" i="28" a="1"/>
  <c r="AG33" i="19" a="1"/>
  <c r="AG30" i="19" a="1"/>
  <c r="AG26" i="19" a="1"/>
  <c r="AG36" i="9" a="1"/>
  <c r="AG25" i="9" a="1"/>
  <c r="AG22" i="9" a="1"/>
  <c r="AG27" i="9" a="1"/>
  <c r="AG52" i="21" a="1"/>
  <c r="AG50" i="21" a="1"/>
  <c r="AG36" i="21" a="1"/>
  <c r="AF40" i="28" a="1"/>
  <c r="AG31" i="9" a="1"/>
  <c r="AG29" i="22" a="1"/>
  <c r="AG32" i="22" a="1"/>
  <c r="AG16" i="22" a="1"/>
  <c r="AG38" i="22" a="1"/>
  <c r="AF42" i="26" a="1"/>
  <c r="AF22" i="26" a="1"/>
  <c r="AF42" i="24" a="1"/>
  <c r="AF44" i="24" a="1"/>
  <c r="AF21" i="24" a="1"/>
  <c r="AF52" i="24" a="1"/>
  <c r="AG30" i="20" a="1"/>
  <c r="AG24" i="20" a="1"/>
  <c r="AG45" i="20" a="1"/>
  <c r="AF37" i="27" a="1"/>
  <c r="AF46" i="27" a="1"/>
  <c r="AF24" i="27" a="1"/>
  <c r="AF20" i="27" a="1"/>
  <c r="AG46" i="23" a="1"/>
  <c r="AG50" i="23" a="1"/>
  <c r="AF24" i="29" a="1"/>
  <c r="AF49" i="29" a="1"/>
  <c r="AF19" i="29" a="1"/>
  <c r="AF17" i="29" a="1"/>
  <c r="AF37" i="25" a="1"/>
  <c r="AF53" i="25" a="1"/>
  <c r="AF47" i="25" a="1"/>
  <c r="AF27" i="28" a="1"/>
  <c r="AF16" i="28" a="1"/>
  <c r="AF46" i="28" a="1"/>
  <c r="AF41" i="28" a="1"/>
  <c r="AG50" i="19" a="1"/>
  <c r="AG41" i="19" a="1"/>
  <c r="AG51" i="19" a="1"/>
  <c r="AG29" i="9" a="1"/>
  <c r="AG49" i="9" a="1"/>
  <c r="AG34" i="9" a="1"/>
  <c r="AG28" i="9" a="1"/>
  <c r="AG24" i="21" a="1"/>
  <c r="AG32" i="21" a="1"/>
  <c r="AG40" i="21" a="1"/>
  <c r="AG52" i="19" a="1"/>
  <c r="AG16" i="9" a="1"/>
  <c r="AG26" i="21" a="1"/>
  <c r="AG17" i="21" a="1"/>
  <c r="AF43" i="27" a="1"/>
  <c r="AF35" i="29" a="1"/>
  <c r="AF50" i="28" a="1"/>
  <c r="AG19" i="19" a="1"/>
  <c r="AG28" i="21" a="1"/>
  <c r="AG21" i="22" a="1"/>
  <c r="AG51" i="22" a="1"/>
  <c r="AG40" i="22" a="1"/>
  <c r="AF25" i="26" a="1"/>
  <c r="AF46" i="26" a="1"/>
  <c r="AF16" i="26" a="1"/>
  <c r="AF28" i="26" a="1"/>
  <c r="AF38" i="24" a="1"/>
  <c r="AF46" i="24" a="1"/>
  <c r="AG32" i="20" a="1"/>
  <c r="AG51" i="20" a="1"/>
  <c r="AG17" i="20" a="1"/>
  <c r="AF34" i="27" a="1"/>
  <c r="AF49" i="27" a="1"/>
  <c r="AG51" i="23" a="1"/>
  <c r="AG25" i="23" a="1"/>
  <c r="AG42" i="23" a="1"/>
  <c r="AG32" i="23" a="1"/>
  <c r="AF15" i="29" a="1"/>
  <c r="AF43" i="29" a="1"/>
  <c r="AF19" i="25" a="1"/>
  <c r="AF17" i="25" a="1"/>
  <c r="AF26" i="25" a="1"/>
  <c r="AF30" i="28" a="1"/>
  <c r="AF44" i="28" a="1"/>
  <c r="AF23" i="28" a="1"/>
  <c r="AG39" i="19" a="1"/>
  <c r="AG48" i="19" a="1"/>
  <c r="AG15" i="19" a="1"/>
  <c r="AG21" i="9" a="1"/>
  <c r="AG30" i="9" a="1"/>
  <c r="AG37" i="9" a="1"/>
  <c r="AG31" i="21" a="1"/>
  <c r="AG46" i="21" a="1"/>
  <c r="AG34" i="21" a="1"/>
  <c r="AG48" i="21" a="1"/>
  <c r="AF23" i="29" a="1"/>
  <c r="AF54" i="29" a="1"/>
  <c r="AF44" i="25" a="1"/>
  <c r="AF49" i="25" a="1"/>
  <c r="AF43" i="25" a="1"/>
  <c r="AF30" i="25" a="1"/>
  <c r="AF49" i="28" a="1"/>
  <c r="AF34" i="28" a="1"/>
  <c r="AF15" i="28" a="1"/>
  <c r="AG29" i="19" a="1"/>
  <c r="AG42" i="19" a="1"/>
  <c r="AG25" i="19" a="1"/>
  <c r="AG51" i="9" a="1"/>
  <c r="AG54" i="9" a="1"/>
  <c r="AG38" i="9" a="1"/>
  <c r="AG39" i="21" a="1"/>
  <c r="AG53" i="21" a="1"/>
  <c r="AG44" i="21" a="1"/>
  <c r="AF37" i="24" a="1"/>
  <c r="AG38" i="20" a="1"/>
  <c r="AG49" i="20" a="1"/>
  <c r="AG35" i="20" a="1"/>
  <c r="AF32" i="27" a="1"/>
  <c r="AF45" i="27" a="1"/>
  <c r="AG28" i="23" a="1"/>
  <c r="AG27" i="23" a="1"/>
  <c r="AG43" i="23" a="1"/>
  <c r="AF34" i="29" a="1"/>
  <c r="AF27" i="29" a="1"/>
  <c r="AF20" i="25" a="1"/>
  <c r="AF39" i="25" a="1"/>
  <c r="AF51" i="25" a="1"/>
  <c r="AF47" i="28" a="1"/>
  <c r="AF48" i="28" a="1"/>
  <c r="AF17" i="28" a="1"/>
  <c r="AG36" i="19" a="1"/>
  <c r="AG21" i="19" a="1"/>
  <c r="AG48" i="9" a="1"/>
  <c r="AG25" i="21" a="1"/>
  <c r="AG47" i="23" a="1"/>
  <c r="AF31" i="25" a="1"/>
  <c r="AG18" i="22" a="1"/>
  <c r="AG41" i="22" a="1"/>
  <c r="AG50" i="22" a="1"/>
  <c r="AF51" i="26" a="1"/>
  <c r="AF17" i="26" a="1"/>
  <c r="AF20" i="26" a="1"/>
  <c r="AF29" i="26" a="1"/>
  <c r="AF23" i="24" a="1"/>
  <c r="AF22" i="24" a="1"/>
  <c r="AF25" i="24" a="1"/>
  <c r="AG34" i="20" a="1"/>
  <c r="AG33" i="20" a="1"/>
  <c r="AG28" i="20" a="1"/>
  <c r="AF28" i="27" a="1"/>
  <c r="AF30" i="27" a="1"/>
  <c r="AF31" i="27" a="1"/>
  <c r="AG35" i="23" a="1"/>
  <c r="AG24" i="23" a="1"/>
  <c r="AG54" i="23" a="1"/>
  <c r="AG20" i="23" a="1"/>
  <c r="AF37" i="29" a="1"/>
  <c r="AG49" i="21" a="1"/>
  <c r="AG46" i="22" a="1"/>
  <c r="AF38" i="26" a="1"/>
  <c r="AF27" i="26" a="1"/>
  <c r="AF41" i="26" a="1"/>
  <c r="AF33" i="24" a="1"/>
  <c r="AF42" i="27" a="1"/>
  <c r="AF35" i="25" a="1"/>
  <c r="AG20" i="19" a="1"/>
  <c r="AG49" i="19" a="1"/>
  <c r="AG46" i="9" a="1"/>
  <c r="AG41" i="9" a="1"/>
  <c r="AG35" i="21" a="1"/>
  <c r="AG49" i="22" a="1"/>
  <c r="AG27" i="22" a="1"/>
  <c r="AF48" i="26" a="1"/>
  <c r="AF40" i="24" a="1"/>
  <c r="AG27" i="20" a="1"/>
  <c r="AF40" i="29" a="1"/>
  <c r="AG45" i="21" a="1"/>
  <c r="AG22" i="21" a="1"/>
  <c r="AF22" i="27" a="1"/>
  <c r="AG21" i="23" a="1"/>
  <c r="AF42" i="29" a="1"/>
  <c r="AF33" i="29" a="1"/>
  <c r="AF16" i="25" a="1"/>
  <c r="AF38" i="25" a="1"/>
  <c r="AF42" i="28" a="1"/>
  <c r="AG43" i="21" a="1"/>
  <c r="AG23" i="23" a="1"/>
  <c r="AF21" i="29" a="1"/>
  <c r="AF45" i="25" a="1"/>
  <c r="AF51" i="28" a="1"/>
  <c r="AG44" i="9" a="1"/>
  <c r="AG47" i="9" a="1"/>
  <c r="AG29" i="21" a="1"/>
  <c r="AG22" i="22" a="1"/>
  <c r="AG35" i="22" a="1"/>
  <c r="AG17" i="22" a="1"/>
  <c r="AF21" i="26" a="1"/>
  <c r="AF39" i="26" a="1"/>
  <c r="AF35" i="26" a="1"/>
  <c r="AF40" i="26" a="1"/>
  <c r="AF19" i="24" a="1"/>
  <c r="AF32" i="24" a="1"/>
  <c r="AF36" i="24" a="1"/>
  <c r="AG22" i="20" a="1"/>
  <c r="AG21" i="20" a="1"/>
  <c r="AG19" i="20" a="1"/>
  <c r="AG41" i="20" a="1"/>
  <c r="AF44" i="27" a="1"/>
  <c r="AF21" i="27" a="1"/>
  <c r="AF36" i="27" a="1"/>
  <c r="AG26" i="23" a="1"/>
  <c r="AG29" i="23" a="1"/>
  <c r="AG45" i="23" a="1"/>
  <c r="AG22" i="23" a="1"/>
  <c r="AF39" i="29" a="1"/>
  <c r="AF46" i="29" a="1"/>
  <c r="AF18" i="29" a="1"/>
  <c r="AF36" i="25" a="1"/>
  <c r="AF33" i="25" a="1"/>
  <c r="AF48" i="25" a="1"/>
  <c r="AF54" i="28" a="1"/>
  <c r="AF53" i="28" a="1"/>
  <c r="AF35" i="28" a="1"/>
  <c r="AG45" i="19" a="1"/>
  <c r="AG31" i="19" a="1"/>
  <c r="AG23" i="19" a="1"/>
  <c r="AG46" i="19" a="1"/>
  <c r="AG42" i="9" a="1"/>
  <c r="AG26" i="9" a="1"/>
  <c r="AG20" i="9" a="1"/>
  <c r="AG42" i="21" a="1"/>
  <c r="AG27" i="21" a="1"/>
  <c r="AG37" i="21" a="1"/>
  <c r="AG53" i="20" a="1"/>
  <c r="AG39" i="23" a="1"/>
  <c r="AG36" i="22" a="1"/>
  <c r="AG33" i="22" a="1"/>
  <c r="AG34" i="22" a="1"/>
  <c r="AF23" i="26" a="1"/>
  <c r="AF26" i="26" a="1"/>
  <c r="AF36" i="26" a="1"/>
  <c r="AF33" i="26" a="1"/>
  <c r="AF18" i="24" a="1"/>
  <c r="AF34" i="24" a="1"/>
  <c r="AF41" i="24" a="1"/>
  <c r="AG16" i="20" a="1"/>
  <c r="AG26" i="20" a="1"/>
  <c r="AG29" i="20" a="1"/>
  <c r="AF17" i="27" a="1"/>
  <c r="AF52" i="27" a="1"/>
  <c r="AG36" i="23" a="1"/>
  <c r="AF48" i="29" a="1"/>
  <c r="AF40" i="25" a="1"/>
  <c r="AF37" i="28" a="1"/>
  <c r="AF43" i="28" a="1"/>
  <c r="AG16" i="19" a="1"/>
  <c r="AG22" i="19" a="1"/>
  <c r="AG37" i="19" a="1"/>
  <c r="AG17" i="9" a="1"/>
  <c r="AG24" i="9" a="1"/>
  <c r="AG54" i="21" a="1"/>
  <c r="AG37" i="22" a="1"/>
  <c r="AG42" i="22" a="1"/>
  <c r="AF44" i="26" a="1"/>
  <c r="AF54" i="26" a="1"/>
  <c r="AF31" i="26" a="1"/>
  <c r="AF24" i="26" a="1"/>
  <c r="AF51" i="24" a="1"/>
  <c r="AF27" i="24" a="1"/>
  <c r="AG39" i="20" a="1"/>
  <c r="AG25" i="20" a="1"/>
  <c r="AG42" i="20" a="1"/>
  <c r="AG47" i="20" a="1"/>
  <c r="AF54" i="27" a="1"/>
  <c r="AF27" i="27" a="1"/>
  <c r="AF48" i="27" a="1"/>
  <c r="AG31" i="23" a="1"/>
  <c r="AG48" i="23" a="1"/>
  <c r="AG37" i="23" a="1"/>
  <c r="AG44" i="23" a="1"/>
  <c r="AF45" i="29" a="1"/>
  <c r="AF50" i="29" a="1"/>
  <c r="AF38" i="29" a="1"/>
  <c r="AF28" i="25" a="1"/>
  <c r="AF52" i="25" a="1"/>
  <c r="AF41" i="25" a="1"/>
  <c r="AF21" i="25" a="1"/>
  <c r="AF29" i="28" a="1"/>
  <c r="AF31" i="28" a="1"/>
  <c r="AF22" i="28" a="1"/>
  <c r="AG18" i="19" a="1"/>
  <c r="AG54" i="19" a="1"/>
  <c r="AG27" i="19" a="1"/>
  <c r="AG24" i="19" a="1"/>
  <c r="AG39" i="9" a="1"/>
  <c r="AG15" i="9" a="1"/>
  <c r="AG52" i="9" a="1"/>
  <c r="AG33" i="21" a="1"/>
  <c r="AG16" i="21" a="1"/>
  <c r="AG19" i="21" a="1"/>
  <c r="AG47" i="21" a="1"/>
  <c r="AG26" i="22" a="1"/>
  <c r="AG47" i="22" a="1"/>
  <c r="AG54" i="22" a="1"/>
  <c r="AF45" i="26" a="1"/>
  <c r="AF34" i="26" a="1"/>
  <c r="AF53" i="24" a="1"/>
  <c r="AF35" i="24" a="1"/>
  <c r="AF31" i="24" a="1"/>
  <c r="AF29" i="24" a="1"/>
  <c r="AG18" i="20" a="1"/>
  <c r="AG40" i="20" a="1"/>
  <c r="AG54" i="20" a="1"/>
  <c r="AF53" i="27" a="1"/>
  <c r="AG33" i="23" a="1"/>
  <c r="AG15" i="23" a="1"/>
  <c r="AF53" i="29" a="1"/>
  <c r="AF45" i="28" a="1"/>
  <c r="AF52" i="28" a="1"/>
  <c r="AG40" i="19" a="1"/>
  <c r="AG50" i="9" a="1"/>
  <c r="AG33" i="9" a="1"/>
  <c r="AG18" i="21" a="1"/>
  <c r="AG48" i="20" a="1"/>
  <c r="AF47" i="27" a="1"/>
  <c r="AG38" i="23" a="1"/>
  <c r="AF28" i="29" a="1"/>
  <c r="AF23" i="25" a="1"/>
  <c r="AG44" i="19" a="1"/>
  <c r="AG43" i="9" a="1"/>
  <c r="AG43" i="9" l="1"/>
  <c r="AG44" i="19"/>
  <c r="AF23" i="25"/>
  <c r="AF28" i="29"/>
  <c r="AG38" i="23"/>
  <c r="AF47" i="27"/>
  <c r="AG48" i="20"/>
  <c r="AG18" i="21"/>
  <c r="AG33" i="9"/>
  <c r="AG50" i="9"/>
  <c r="AG40" i="19"/>
  <c r="AF52" i="28"/>
  <c r="AF45" i="28"/>
  <c r="AF53" i="29"/>
  <c r="AG15" i="23"/>
  <c r="AG33" i="23"/>
  <c r="AF53" i="27"/>
  <c r="AG54" i="20"/>
  <c r="AG40" i="20"/>
  <c r="AG18" i="20"/>
  <c r="AF29" i="24"/>
  <c r="AF31" i="24"/>
  <c r="AF35" i="24"/>
  <c r="AF53" i="24"/>
  <c r="AF34" i="26"/>
  <c r="AF45" i="26"/>
  <c r="AG54" i="22"/>
  <c r="AG47" i="22"/>
  <c r="AG26" i="22"/>
  <c r="AG47" i="21"/>
  <c r="AG19" i="21"/>
  <c r="AG16" i="21"/>
  <c r="AG33" i="21"/>
  <c r="AG52" i="9"/>
  <c r="AG15" i="9"/>
  <c r="AG39" i="9"/>
  <c r="AG24" i="19"/>
  <c r="AG27" i="19"/>
  <c r="AG54" i="19"/>
  <c r="AG18" i="19"/>
  <c r="AF22" i="28"/>
  <c r="AF31" i="28"/>
  <c r="AF29" i="28"/>
  <c r="AF21" i="25"/>
  <c r="AF41" i="25"/>
  <c r="AF52" i="25"/>
  <c r="AF28" i="25"/>
  <c r="AF38" i="29"/>
  <c r="AF50" i="29"/>
  <c r="AF45" i="29"/>
  <c r="AG44" i="23"/>
  <c r="AG37" i="23"/>
  <c r="AG48" i="23"/>
  <c r="AG31" i="23"/>
  <c r="AF48" i="27"/>
  <c r="AF27" i="27"/>
  <c r="AF54" i="27"/>
  <c r="AG47" i="20"/>
  <c r="AG42" i="20"/>
  <c r="AG25" i="20"/>
  <c r="AG39" i="20"/>
  <c r="AF27" i="24"/>
  <c r="AF51" i="24"/>
  <c r="AF24" i="26"/>
  <c r="AF31" i="26"/>
  <c r="AF54" i="26"/>
  <c r="AF44" i="26"/>
  <c r="AG42" i="22"/>
  <c r="AG37" i="22"/>
  <c r="AG54" i="21"/>
  <c r="AG24" i="9"/>
  <c r="AG17" i="9"/>
  <c r="AG37" i="19"/>
  <c r="AG22" i="19"/>
  <c r="AG16" i="19"/>
  <c r="AF43" i="28"/>
  <c r="AF37" i="28"/>
  <c r="AF40" i="25"/>
  <c r="AF48" i="29"/>
  <c r="AG36" i="23"/>
  <c r="AF52" i="27"/>
  <c r="AF17" i="27"/>
  <c r="AG29" i="20"/>
  <c r="AG26" i="20"/>
  <c r="AG16" i="20"/>
  <c r="AF41" i="24"/>
  <c r="AF34" i="24"/>
  <c r="AF18" i="24"/>
  <c r="AF33" i="26"/>
  <c r="AF36" i="26"/>
  <c r="AF26" i="26"/>
  <c r="AF23" i="26"/>
  <c r="AG34" i="22"/>
  <c r="AG33" i="22"/>
  <c r="AG36" i="22"/>
  <c r="AG39" i="23"/>
  <c r="AG53" i="20"/>
  <c r="AG37" i="21"/>
  <c r="AG27" i="21"/>
  <c r="AG42" i="21"/>
  <c r="AG20" i="9"/>
  <c r="AG26" i="9"/>
  <c r="AG42" i="9"/>
  <c r="AG46" i="19"/>
  <c r="AG23" i="19"/>
  <c r="AG31" i="19"/>
  <c r="AG45" i="19"/>
  <c r="AF35" i="28"/>
  <c r="AF53" i="28"/>
  <c r="AF54" i="28"/>
  <c r="AF48" i="25"/>
  <c r="AF33" i="25"/>
  <c r="AF36" i="25"/>
  <c r="AF18" i="29"/>
  <c r="AF46" i="29"/>
  <c r="AF39" i="29"/>
  <c r="AG22" i="23"/>
  <c r="AG45" i="23"/>
  <c r="AG29" i="23"/>
  <c r="AG26" i="23"/>
  <c r="AF36" i="27"/>
  <c r="AF21" i="27"/>
  <c r="AF44" i="27"/>
  <c r="AG41" i="20"/>
  <c r="AG19" i="20"/>
  <c r="AG21" i="20"/>
  <c r="AG22" i="20"/>
  <c r="AF36" i="24"/>
  <c r="AF32" i="24"/>
  <c r="AF19" i="24"/>
  <c r="AF40" i="26"/>
  <c r="AF35" i="26"/>
  <c r="AF39" i="26"/>
  <c r="AF21" i="26"/>
  <c r="AG17" i="22"/>
  <c r="AG35" i="22"/>
  <c r="AG22" i="22"/>
  <c r="AG29" i="21"/>
  <c r="AG47" i="9"/>
  <c r="AG44" i="9"/>
  <c r="AF51" i="28"/>
  <c r="AF45" i="25"/>
  <c r="AF21" i="29"/>
  <c r="AG23" i="23"/>
  <c r="AG43" i="21"/>
  <c r="AF42" i="28"/>
  <c r="AF38" i="25"/>
  <c r="AF16" i="25"/>
  <c r="AF33" i="29"/>
  <c r="AF42" i="29"/>
  <c r="AG21" i="23"/>
  <c r="AF22" i="27"/>
  <c r="AG22" i="21"/>
  <c r="AG45" i="21"/>
  <c r="AF40" i="29"/>
  <c r="AG27" i="20"/>
  <c r="AF40" i="24"/>
  <c r="AF48" i="26"/>
  <c r="AG27" i="22"/>
  <c r="AG49" i="22"/>
  <c r="AG35" i="21"/>
  <c r="AG41" i="9"/>
  <c r="AG46" i="9"/>
  <c r="AG49" i="19"/>
  <c r="AG20" i="19"/>
  <c r="AF35" i="25"/>
  <c r="AF42" i="27"/>
  <c r="AF33" i="24"/>
  <c r="AF41" i="26"/>
  <c r="AF27" i="26"/>
  <c r="AF38" i="26"/>
  <c r="AG46" i="22"/>
  <c r="AG49" i="21"/>
  <c r="AF37" i="29"/>
  <c r="AG20" i="23"/>
  <c r="AG54" i="23"/>
  <c r="AG24" i="23"/>
  <c r="AG35" i="23"/>
  <c r="AF31" i="27"/>
  <c r="AF30" i="27"/>
  <c r="AF28" i="27"/>
  <c r="AG28" i="20"/>
  <c r="AG33" i="20"/>
  <c r="AG34" i="20"/>
  <c r="AF25" i="24"/>
  <c r="AF22" i="24"/>
  <c r="AF23" i="24"/>
  <c r="AF29" i="26"/>
  <c r="AF20" i="26"/>
  <c r="AF17" i="26"/>
  <c r="AF51" i="26"/>
  <c r="AG50" i="22"/>
  <c r="AG41" i="22"/>
  <c r="AG18" i="22"/>
  <c r="AF31" i="25"/>
  <c r="AG47" i="23"/>
  <c r="AG25" i="21"/>
  <c r="AG48" i="9"/>
  <c r="AG21" i="19"/>
  <c r="AG36" i="19"/>
  <c r="AF17" i="28"/>
  <c r="AF48" i="28"/>
  <c r="AF47" i="28"/>
  <c r="AF51" i="25"/>
  <c r="AF39" i="25"/>
  <c r="AF20" i="25"/>
  <c r="AF27" i="29"/>
  <c r="AF34" i="29"/>
  <c r="AG43" i="23"/>
  <c r="AG27" i="23"/>
  <c r="AG28" i="23"/>
  <c r="AF45" i="27"/>
  <c r="AF32" i="27"/>
  <c r="AG35" i="20"/>
  <c r="AG49" i="20"/>
  <c r="AG38" i="20"/>
  <c r="AF37" i="24"/>
  <c r="AG44" i="21"/>
  <c r="AG53" i="21"/>
  <c r="AG39" i="21"/>
  <c r="AG38" i="9"/>
  <c r="AG54" i="9"/>
  <c r="AG51" i="9"/>
  <c r="AG25" i="19"/>
  <c r="AG42" i="19"/>
  <c r="AG29" i="19"/>
  <c r="AF15" i="28"/>
  <c r="AF34" i="28"/>
  <c r="AF49" i="28"/>
  <c r="AF30" i="25"/>
  <c r="AF43" i="25"/>
  <c r="AF49" i="25"/>
  <c r="AF44" i="25"/>
  <c r="AF54" i="29"/>
  <c r="AF23" i="29"/>
  <c r="AG48" i="21"/>
  <c r="AG34" i="21"/>
  <c r="AG46" i="21"/>
  <c r="AG31" i="21"/>
  <c r="AG37" i="9"/>
  <c r="AG30" i="9"/>
  <c r="AG21" i="9"/>
  <c r="AG15" i="19"/>
  <c r="AG48" i="19"/>
  <c r="AG39" i="19"/>
  <c r="AF23" i="28"/>
  <c r="AF44" i="28"/>
  <c r="AF30" i="28"/>
  <c r="AF26" i="25"/>
  <c r="AF17" i="25"/>
  <c r="AF19" i="25"/>
  <c r="AF43" i="29"/>
  <c r="AF15" i="29"/>
  <c r="AG32" i="23"/>
  <c r="AG42" i="23"/>
  <c r="AG25" i="23"/>
  <c r="AG51" i="23"/>
  <c r="AF49" i="27"/>
  <c r="AF34" i="27"/>
  <c r="AG17" i="20"/>
  <c r="AG51" i="20"/>
  <c r="AG32" i="20"/>
  <c r="AF46" i="24"/>
  <c r="AF38" i="24"/>
  <c r="AF28" i="26"/>
  <c r="AF16" i="26"/>
  <c r="AF46" i="26"/>
  <c r="AF25" i="26"/>
  <c r="AG40" i="22"/>
  <c r="AG51" i="22"/>
  <c r="AG21" i="22"/>
  <c r="AG28" i="21"/>
  <c r="AG19" i="19"/>
  <c r="AF50" i="28"/>
  <c r="AF35" i="29"/>
  <c r="AF43" i="27"/>
  <c r="AG17" i="21"/>
  <c r="AG26" i="21"/>
  <c r="AG16" i="9"/>
  <c r="AG52" i="19"/>
  <c r="AG40" i="21"/>
  <c r="AG32" i="21"/>
  <c r="AG24" i="21"/>
  <c r="AG28" i="9"/>
  <c r="AG34" i="9"/>
  <c r="AG49" i="9"/>
  <c r="AG29" i="9"/>
  <c r="AG51" i="19"/>
  <c r="AG41" i="19"/>
  <c r="AG50" i="19"/>
  <c r="AF41" i="28"/>
  <c r="AF46" i="28"/>
  <c r="AF16" i="28"/>
  <c r="AF27" i="28"/>
  <c r="AF47" i="25"/>
  <c r="AF53" i="25"/>
  <c r="AF37" i="25"/>
  <c r="AF17" i="29"/>
  <c r="AF19" i="29"/>
  <c r="AF49" i="29"/>
  <c r="AF24" i="29"/>
  <c r="AG50" i="23"/>
  <c r="AG46" i="23"/>
  <c r="AF20" i="27"/>
  <c r="AF24" i="27"/>
  <c r="AF46" i="27"/>
  <c r="AF37" i="27"/>
  <c r="AG45" i="20"/>
  <c r="AG24" i="20"/>
  <c r="AG30" i="20"/>
  <c r="AF52" i="24"/>
  <c r="AF21" i="24"/>
  <c r="AF44" i="24"/>
  <c r="AF42" i="24"/>
  <c r="AF22" i="26"/>
  <c r="AF42" i="26"/>
  <c r="AG38" i="22"/>
  <c r="AG16" i="22"/>
  <c r="AG32" i="22"/>
  <c r="AG29" i="22"/>
  <c r="AG31" i="9"/>
  <c r="AF40" i="28"/>
  <c r="AG36" i="21"/>
  <c r="AG50" i="21"/>
  <c r="AG52" i="21"/>
  <c r="AG27" i="9"/>
  <c r="AG22" i="9"/>
  <c r="AG25" i="9"/>
  <c r="AG36" i="9"/>
  <c r="AG26" i="19"/>
  <c r="AG30" i="19"/>
  <c r="AG33" i="19"/>
  <c r="AF38" i="28"/>
  <c r="AF26" i="28"/>
  <c r="AF20" i="28"/>
  <c r="AF21" i="28"/>
  <c r="AF32" i="25"/>
  <c r="AF34" i="25"/>
  <c r="AF22" i="25"/>
  <c r="AF16" i="29"/>
  <c r="AF29" i="29"/>
  <c r="AF32" i="29"/>
  <c r="AF51" i="29"/>
  <c r="AG16" i="23"/>
  <c r="AG40" i="23"/>
  <c r="AG19" i="23"/>
  <c r="AF19" i="27"/>
  <c r="AF40" i="27"/>
  <c r="AF15" i="27"/>
  <c r="AF33" i="27"/>
  <c r="AG15" i="20"/>
  <c r="AG20" i="20"/>
  <c r="AG43" i="20"/>
  <c r="AF39" i="24"/>
  <c r="AF43" i="24"/>
  <c r="AF28" i="24"/>
  <c r="AF30" i="24"/>
  <c r="AF50" i="26"/>
  <c r="AF53" i="26"/>
  <c r="AF52" i="26"/>
  <c r="AG23" i="22"/>
  <c r="AG39" i="22"/>
  <c r="AG15" i="22"/>
  <c r="AG28" i="22"/>
  <c r="AG30" i="21"/>
  <c r="AG40" i="9"/>
  <c r="AG32" i="9"/>
  <c r="AG43" i="19"/>
  <c r="AG38" i="19"/>
  <c r="AG17" i="19"/>
  <c r="AF33" i="28"/>
  <c r="AF19" i="28"/>
  <c r="AF36" i="28"/>
  <c r="AF25" i="28"/>
  <c r="AF46" i="25"/>
  <c r="AF25" i="25"/>
  <c r="AF24" i="25"/>
  <c r="AF47" i="29"/>
  <c r="AF52" i="29"/>
  <c r="AF22" i="29"/>
  <c r="AF31" i="29"/>
  <c r="AG34" i="23"/>
  <c r="AG53" i="23"/>
  <c r="AG30" i="23"/>
  <c r="AF25" i="27"/>
  <c r="AF51" i="27"/>
  <c r="AF35" i="27"/>
  <c r="AF18" i="27"/>
  <c r="AG50" i="20"/>
  <c r="AG31" i="20"/>
  <c r="AG37" i="20"/>
  <c r="AF26" i="24"/>
  <c r="AF20" i="24"/>
  <c r="AF45" i="24"/>
  <c r="AF49" i="24"/>
  <c r="AF18" i="26"/>
  <c r="AF49" i="26"/>
  <c r="AF47" i="26"/>
  <c r="AG45" i="22"/>
  <c r="AG20" i="22"/>
  <c r="AG25" i="22"/>
  <c r="AG52" i="20"/>
  <c r="AF47" i="24"/>
  <c r="AF50" i="24"/>
  <c r="AF16" i="24"/>
  <c r="AF15" i="24"/>
  <c r="AF37" i="26"/>
  <c r="AF30" i="26"/>
  <c r="AF19" i="26"/>
  <c r="AG48" i="22"/>
  <c r="AG53" i="22"/>
  <c r="AG52" i="22"/>
  <c r="AG19" i="22"/>
  <c r="AG15" i="21"/>
  <c r="AG23" i="21"/>
  <c r="AG19" i="9"/>
  <c r="AG28" i="19"/>
  <c r="AF54" i="25"/>
  <c r="AF26" i="29"/>
  <c r="AG17" i="23"/>
  <c r="AF29" i="27"/>
  <c r="AG51" i="21"/>
  <c r="AG45" i="9"/>
  <c r="AG32" i="19"/>
  <c r="AG47" i="19"/>
  <c r="AF39" i="28"/>
  <c r="AF50" i="25"/>
  <c r="AF27" i="25"/>
  <c r="AF25" i="29"/>
  <c r="AF20" i="29"/>
  <c r="AF41" i="27"/>
  <c r="AG38" i="21"/>
  <c r="AF18" i="28"/>
  <c r="AF16" i="27"/>
  <c r="AG36" i="20"/>
  <c r="AG23" i="9"/>
  <c r="AF15" i="25"/>
  <c r="AF36" i="29"/>
  <c r="AG52" i="23"/>
  <c r="AF26" i="27"/>
  <c r="AF32" i="26"/>
  <c r="AG24" i="22"/>
  <c r="AG20" i="21"/>
  <c r="AG21" i="21"/>
  <c r="AG41" i="21"/>
  <c r="AG35" i="9"/>
  <c r="AG53" i="9"/>
  <c r="AG18" i="9"/>
  <c r="AG53" i="19"/>
  <c r="AG34" i="19"/>
  <c r="AG35" i="19"/>
  <c r="AF24" i="28"/>
  <c r="AF28" i="28"/>
  <c r="AF32" i="28"/>
  <c r="AF42" i="25"/>
  <c r="AF18" i="25"/>
  <c r="AF29" i="25"/>
  <c r="AF44" i="29"/>
  <c r="AF41" i="29"/>
  <c r="AF30" i="29"/>
  <c r="AG41" i="23"/>
  <c r="AG18" i="23"/>
  <c r="AG49" i="23"/>
  <c r="AF50" i="27"/>
  <c r="AF39" i="27"/>
  <c r="AF23" i="27"/>
  <c r="AF38" i="27"/>
  <c r="AG46" i="20"/>
  <c r="AG44" i="20"/>
  <c r="AG23" i="20"/>
  <c r="AF54" i="24"/>
  <c r="AF17" i="24"/>
  <c r="AF24" i="24"/>
  <c r="AF48" i="24"/>
  <c r="AF43" i="26"/>
  <c r="AF15" i="26"/>
  <c r="AG31" i="22"/>
  <c r="AG43" i="22"/>
  <c r="AG44" i="22"/>
  <c r="AG30" i="22"/>
  <c r="AH11" i="27"/>
  <c r="AG12" i="27"/>
  <c r="AG12" i="24"/>
  <c r="AH11" i="24"/>
  <c r="AI11" i="21"/>
  <c r="AH12" i="21"/>
  <c r="AG12" i="25"/>
  <c r="AH11" i="25"/>
  <c r="AI11" i="20"/>
  <c r="AH12" i="20"/>
  <c r="AH12" i="19"/>
  <c r="AI11" i="19"/>
  <c r="AH12" i="23"/>
  <c r="AI11" i="23"/>
  <c r="AH12" i="9"/>
  <c r="AI11" i="9"/>
  <c r="AH12" i="22"/>
  <c r="AI11" i="22"/>
  <c r="AH11" i="28"/>
  <c r="AG12" i="28"/>
  <c r="AG12" i="29"/>
  <c r="AH11" i="29"/>
  <c r="AH11" i="26"/>
  <c r="AG12" i="26"/>
  <c r="AG30" i="24" a="1"/>
  <c r="AH34" i="21" a="1"/>
  <c r="AG33" i="25" a="1"/>
  <c r="AH44" i="20" a="1"/>
  <c r="AH15" i="19" a="1"/>
  <c r="AH40" i="23" a="1"/>
  <c r="AH19" i="23" a="1"/>
  <c r="AH29" i="23" a="1"/>
  <c r="AH40" i="9" a="1"/>
  <c r="AH35" i="9" a="1"/>
  <c r="AH46" i="22" a="1"/>
  <c r="AG44" i="27" a="1"/>
  <c r="AG49" i="27" a="1"/>
  <c r="AG28" i="27" a="1"/>
  <c r="AG52" i="27" a="1"/>
  <c r="AG31" i="24" a="1"/>
  <c r="AG28" i="24" a="1"/>
  <c r="AG49" i="24" a="1"/>
  <c r="AH47" i="21" a="1"/>
  <c r="AH27" i="21" a="1"/>
  <c r="AH38" i="21" a="1"/>
  <c r="AH54" i="21" a="1"/>
  <c r="AG50" i="25" a="1"/>
  <c r="AG34" i="25" a="1"/>
  <c r="AG21" i="25" a="1"/>
  <c r="AH23" i="20" a="1"/>
  <c r="AH20" i="20" a="1"/>
  <c r="AH21" i="20" a="1"/>
  <c r="AH49" i="20" a="1"/>
  <c r="AH47" i="19" a="1"/>
  <c r="AH35" i="19" a="1"/>
  <c r="AH29" i="19" a="1"/>
  <c r="AH18" i="23" a="1"/>
  <c r="AH41" i="23" a="1"/>
  <c r="AH22" i="23" a="1"/>
  <c r="AH21" i="23" a="1"/>
  <c r="AH29" i="9" a="1"/>
  <c r="AH41" i="9" a="1"/>
  <c r="AH54" i="9" a="1"/>
  <c r="AH19" i="22" a="1"/>
  <c r="AH30" i="22" a="1"/>
  <c r="AH22" i="22" a="1"/>
  <c r="AH27" i="22" a="1"/>
  <c r="AG43" i="28" a="1"/>
  <c r="AG19" i="28" a="1"/>
  <c r="AG45" i="28" a="1"/>
  <c r="AG29" i="29" a="1"/>
  <c r="AG35" i="29" a="1"/>
  <c r="AG15" i="29" a="1"/>
  <c r="AG31" i="26" a="1"/>
  <c r="AG19" i="26" a="1"/>
  <c r="AG34" i="26" a="1"/>
  <c r="AG26" i="24" a="1"/>
  <c r="AG37" i="25" a="1"/>
  <c r="AH37" i="20" a="1"/>
  <c r="AH20" i="23" a="1"/>
  <c r="AH52" i="9" a="1"/>
  <c r="AH36" i="22" a="1"/>
  <c r="AG23" i="26" a="1"/>
  <c r="AG46" i="27" a="1"/>
  <c r="AG41" i="24" a="1"/>
  <c r="AH24" i="21" a="1"/>
  <c r="AH50" i="21" a="1"/>
  <c r="AG46" i="25" a="1"/>
  <c r="AG30" i="25" a="1"/>
  <c r="AH36" i="20" a="1"/>
  <c r="AH23" i="19" a="1"/>
  <c r="AH34" i="23" a="1"/>
  <c r="AH38" i="22" a="1"/>
  <c r="AG39" i="28" a="1"/>
  <c r="AG33" i="26" a="1"/>
  <c r="AG16" i="28" a="1"/>
  <c r="AG30" i="29" a="1"/>
  <c r="AG45" i="26" a="1"/>
  <c r="AG53" i="27" a="1"/>
  <c r="AG27" i="27" a="1"/>
  <c r="AG32" i="27" a="1"/>
  <c r="AG35" i="27" a="1"/>
  <c r="AG25" i="24" a="1"/>
  <c r="AG38" i="24" a="1"/>
  <c r="AG53" i="24" a="1"/>
  <c r="AH39" i="21" a="1"/>
  <c r="AH30" i="21" a="1"/>
  <c r="AH48" i="21" a="1"/>
  <c r="AG42" i="25" a="1"/>
  <c r="AG26" i="25" a="1"/>
  <c r="AG16" i="25" a="1"/>
  <c r="AH26" i="20" a="1"/>
  <c r="AH25" i="20" a="1"/>
  <c r="AH31" i="20" a="1"/>
  <c r="AH19" i="19" a="1"/>
  <c r="AH25" i="19" a="1"/>
  <c r="AH49" i="19" a="1"/>
  <c r="AH44" i="23" a="1"/>
  <c r="AH16" i="23" a="1"/>
  <c r="AH24" i="23" a="1"/>
  <c r="AH53" i="23" a="1"/>
  <c r="AH25" i="9" a="1"/>
  <c r="AH32" i="9" a="1"/>
  <c r="AH43" i="22" a="1"/>
  <c r="AH53" i="22" a="1"/>
  <c r="AH52" i="22" a="1"/>
  <c r="AH29" i="22" a="1"/>
  <c r="AG21" i="28" a="1"/>
  <c r="AG33" i="28" a="1"/>
  <c r="AG54" i="28" a="1"/>
  <c r="AG27" i="29" a="1"/>
  <c r="AG43" i="29" a="1"/>
  <c r="AG42" i="29" a="1"/>
  <c r="AG54" i="29" a="1"/>
  <c r="AG27" i="26" a="1"/>
  <c r="AG20" i="26" a="1"/>
  <c r="AG51" i="26" a="1"/>
  <c r="AG26" i="26" a="1"/>
  <c r="AG47" i="26" a="1"/>
  <c r="AG32" i="26" a="1"/>
  <c r="AG26" i="27" a="1"/>
  <c r="AH52" i="21" a="1"/>
  <c r="AG47" i="25" a="1"/>
  <c r="AH31" i="19" a="1"/>
  <c r="AH38" i="9" a="1"/>
  <c r="AH51" i="22" a="1"/>
  <c r="AG52" i="29" a="1"/>
  <c r="AG51" i="29" a="1"/>
  <c r="AG16" i="26" a="1"/>
  <c r="AG54" i="24" a="1"/>
  <c r="AH17" i="19" a="1"/>
  <c r="AH26" i="23" a="1"/>
  <c r="AH49" i="23" a="1"/>
  <c r="AH31" i="9" a="1"/>
  <c r="AG16" i="27" a="1"/>
  <c r="AG23" i="27" a="1"/>
  <c r="AG41" i="27" a="1"/>
  <c r="AG40" i="27" a="1"/>
  <c r="AG37" i="24" a="1"/>
  <c r="AG27" i="24" a="1"/>
  <c r="AG39" i="24" a="1"/>
  <c r="AH35" i="21" a="1"/>
  <c r="AH26" i="21" a="1"/>
  <c r="AH51" i="21" a="1"/>
  <c r="AH23" i="21" a="1"/>
  <c r="AG52" i="25" a="1"/>
  <c r="AG39" i="25" a="1"/>
  <c r="AG18" i="25" a="1"/>
  <c r="AH18" i="20" a="1"/>
  <c r="AH46" i="20" a="1"/>
  <c r="AH53" i="20" a="1"/>
  <c r="AH28" i="20" a="1"/>
  <c r="AH52" i="19" a="1"/>
  <c r="AH20" i="19" a="1"/>
  <c r="AH36" i="19" a="1"/>
  <c r="AH46" i="23" a="1"/>
  <c r="AH52" i="23" a="1"/>
  <c r="AH17" i="23" a="1"/>
  <c r="AH36" i="23" a="1"/>
  <c r="AH44" i="9" a="1"/>
  <c r="AH45" i="9" a="1"/>
  <c r="AH27" i="9" a="1"/>
  <c r="AH32" i="22" a="1"/>
  <c r="AH42" i="22" a="1"/>
  <c r="AH39" i="22" a="1"/>
  <c r="AH16" i="22" a="1"/>
  <c r="AG37" i="28" a="1"/>
  <c r="AG41" i="28" a="1"/>
  <c r="AG22" i="28" a="1"/>
  <c r="AG19" i="29" a="1"/>
  <c r="AG17" i="29" a="1"/>
  <c r="AG28" i="29" a="1"/>
  <c r="AG25" i="29" a="1"/>
  <c r="AG24" i="26" a="1"/>
  <c r="AG28" i="26" a="1"/>
  <c r="AG15" i="26" a="1"/>
  <c r="AG19" i="27" a="1"/>
  <c r="AG51" i="27" a="1"/>
  <c r="AG47" i="27" a="1"/>
  <c r="AG22" i="24" a="1"/>
  <c r="AG29" i="24" a="1"/>
  <c r="AG18" i="24" a="1"/>
  <c r="AH20" i="21" a="1"/>
  <c r="AH17" i="21" a="1"/>
  <c r="AH32" i="21" a="1"/>
  <c r="AG41" i="25" a="1"/>
  <c r="AG17" i="25" a="1"/>
  <c r="AG20" i="25" a="1"/>
  <c r="AH27" i="20" a="1"/>
  <c r="AH48" i="20" a="1"/>
  <c r="AH43" i="20" a="1"/>
  <c r="AH30" i="20" a="1"/>
  <c r="AH37" i="19" a="1"/>
  <c r="AH48" i="19" a="1"/>
  <c r="AH37" i="23" a="1"/>
  <c r="AH28" i="23" a="1"/>
  <c r="AH32" i="23" a="1"/>
  <c r="AH53" i="9" a="1"/>
  <c r="AH20" i="22" a="1"/>
  <c r="AH23" i="22" a="1"/>
  <c r="AH54" i="22" a="1"/>
  <c r="AG30" i="28" a="1"/>
  <c r="AG36" i="28" a="1"/>
  <c r="AG53" i="29" a="1"/>
  <c r="AG37" i="26" a="1"/>
  <c r="AG41" i="26" a="1"/>
  <c r="AG31" i="27" a="1"/>
  <c r="AH38" i="19" a="1"/>
  <c r="AH42" i="19" a="1"/>
  <c r="AH31" i="23" a="1"/>
  <c r="AH48" i="22" a="1"/>
  <c r="AG25" i="28" a="1"/>
  <c r="AG54" i="26" a="1"/>
  <c r="AH15" i="20" a="1"/>
  <c r="AH34" i="19" a="1"/>
  <c r="AH28" i="9" a="1"/>
  <c r="AH23" i="9" a="1"/>
  <c r="AH49" i="22" a="1"/>
  <c r="AG49" i="28" a="1"/>
  <c r="AG50" i="29" a="1"/>
  <c r="AG25" i="26" a="1"/>
  <c r="AG32" i="29" a="1"/>
  <c r="AH21" i="21" a="1"/>
  <c r="AH45" i="19" a="1"/>
  <c r="AH27" i="23" a="1"/>
  <c r="AH39" i="9" a="1"/>
  <c r="AH24" i="9" a="1"/>
  <c r="AH47" i="22" a="1"/>
  <c r="AG53" i="28" a="1"/>
  <c r="AG34" i="29" a="1"/>
  <c r="AG37" i="29" a="1"/>
  <c r="AG24" i="29" a="1"/>
  <c r="AG42" i="26" a="1"/>
  <c r="AG37" i="27" a="1"/>
  <c r="AG24" i="24" a="1"/>
  <c r="AG38" i="25" a="1"/>
  <c r="AH32" i="19" a="1"/>
  <c r="AH47" i="23" a="1"/>
  <c r="AH42" i="9" a="1"/>
  <c r="AG47" i="28" a="1"/>
  <c r="AG48" i="26" a="1"/>
  <c r="AG50" i="27" a="1"/>
  <c r="AG34" i="24" a="1"/>
  <c r="AG20" i="28" a="1"/>
  <c r="AG47" i="29" a="1"/>
  <c r="AG50" i="26" a="1"/>
  <c r="AG17" i="26" a="1"/>
  <c r="AH17" i="22" a="1"/>
  <c r="AG29" i="27" a="1"/>
  <c r="AG34" i="27" a="1"/>
  <c r="AG25" i="27" a="1"/>
  <c r="AG18" i="27" a="1"/>
  <c r="AG42" i="24" a="1"/>
  <c r="AG33" i="24" a="1"/>
  <c r="AG50" i="24" a="1"/>
  <c r="AH45" i="21" a="1"/>
  <c r="AH22" i="21" a="1"/>
  <c r="AH43" i="21" a="1"/>
  <c r="AH37" i="21" a="1"/>
  <c r="AG19" i="25" a="1"/>
  <c r="AG51" i="25" a="1"/>
  <c r="AG28" i="25" a="1"/>
  <c r="AH41" i="20" a="1"/>
  <c r="AH19" i="20" a="1"/>
  <c r="AH38" i="20" a="1"/>
  <c r="AH47" i="20" a="1"/>
  <c r="AH18" i="19" a="1"/>
  <c r="AH44" i="19" a="1"/>
  <c r="AH27" i="19" a="1"/>
  <c r="AH30" i="23" a="1"/>
  <c r="AH23" i="23" a="1"/>
  <c r="AH54" i="23" a="1"/>
  <c r="AH38" i="23" a="1"/>
  <c r="AH34" i="9" a="1"/>
  <c r="AH47" i="9" a="1"/>
  <c r="AH36" i="9" a="1"/>
  <c r="AH33" i="22" a="1"/>
  <c r="AH35" i="22" a="1"/>
  <c r="AH15" i="22" a="1"/>
  <c r="AH41" i="22" a="1"/>
  <c r="AG32" i="28" a="1"/>
  <c r="AG38" i="28" a="1"/>
  <c r="AG26" i="28" a="1"/>
  <c r="AG39" i="29" a="1"/>
  <c r="AG40" i="29" a="1"/>
  <c r="AG44" i="29" a="1"/>
  <c r="AG38" i="29" a="1"/>
  <c r="AG43" i="26" a="1"/>
  <c r="AG48" i="24" a="1"/>
  <c r="AH18" i="21" a="1"/>
  <c r="AH17" i="20" a="1"/>
  <c r="AG36" i="27" a="1"/>
  <c r="AH15" i="21" a="1"/>
  <c r="AG36" i="25" a="1"/>
  <c r="AG23" i="29" a="1"/>
  <c r="AG49" i="29" a="1"/>
  <c r="AG29" i="26" a="1"/>
  <c r="AG42" i="27" a="1"/>
  <c r="AG43" i="27" a="1"/>
  <c r="AG22" i="27" a="1"/>
  <c r="AG45" i="24" a="1"/>
  <c r="AG21" i="24" a="1"/>
  <c r="AG36" i="24" a="1"/>
  <c r="AG44" i="24" a="1"/>
  <c r="AH19" i="21" a="1"/>
  <c r="AH31" i="21" a="1"/>
  <c r="AH41" i="21" a="1"/>
  <c r="AG54" i="25" a="1"/>
  <c r="AG32" i="25" a="1"/>
  <c r="AG44" i="25" a="1"/>
  <c r="AG31" i="25" a="1"/>
  <c r="AH16" i="20" a="1"/>
  <c r="AH29" i="20" a="1"/>
  <c r="AH51" i="20" a="1"/>
  <c r="AH40" i="19" a="1"/>
  <c r="AH21" i="19" a="1"/>
  <c r="AH50" i="19" a="1"/>
  <c r="AH42" i="23" a="1"/>
  <c r="AH39" i="23" a="1"/>
  <c r="AH51" i="23" a="1"/>
  <c r="AH15" i="9" a="1"/>
  <c r="AH17" i="9" a="1"/>
  <c r="AH43" i="9" a="1"/>
  <c r="AH51" i="9" a="1"/>
  <c r="AH28" i="22" a="1"/>
  <c r="AH26" i="22" a="1"/>
  <c r="AG28" i="28" a="1"/>
  <c r="AG44" i="28" a="1"/>
  <c r="AG40" i="28" a="1"/>
  <c r="AG27" i="28" a="1"/>
  <c r="AG41" i="29" a="1"/>
  <c r="AG36" i="29" a="1"/>
  <c r="AG46" i="29" a="1"/>
  <c r="AG53" i="26" a="1"/>
  <c r="AG40" i="24" a="1"/>
  <c r="AG27" i="25" a="1"/>
  <c r="AH22" i="20" a="1"/>
  <c r="AH37" i="9" a="1"/>
  <c r="AG46" i="28" a="1"/>
  <c r="AG52" i="28" a="1"/>
  <c r="AG23" i="25" a="1"/>
  <c r="AH33" i="19" a="1"/>
  <c r="AH22" i="9" a="1"/>
  <c r="AH50" i="22" a="1"/>
  <c r="AG18" i="28" a="1"/>
  <c r="AG31" i="29" a="1"/>
  <c r="AG39" i="27" a="1"/>
  <c r="AG45" i="27" a="1"/>
  <c r="AG38" i="27" a="1"/>
  <c r="AG16" i="24" a="1"/>
  <c r="AG46" i="24" a="1"/>
  <c r="AG51" i="24" a="1"/>
  <c r="AG20" i="24" a="1"/>
  <c r="AH44" i="21" a="1"/>
  <c r="AH53" i="21" a="1"/>
  <c r="AH36" i="21" a="1"/>
  <c r="AG43" i="25" a="1"/>
  <c r="AG48" i="25" a="1"/>
  <c r="AG15" i="25" a="1"/>
  <c r="AH34" i="20" a="1"/>
  <c r="AH35" i="20" a="1"/>
  <c r="AH24" i="20" a="1"/>
  <c r="AH39" i="19" a="1"/>
  <c r="AH24" i="19" a="1"/>
  <c r="AH46" i="19" a="1"/>
  <c r="AH50" i="23" a="1"/>
  <c r="AH45" i="23" a="1"/>
  <c r="AH21" i="9" a="1"/>
  <c r="AH16" i="9" a="1"/>
  <c r="AH20" i="9" a="1"/>
  <c r="AH30" i="9" a="1"/>
  <c r="AH25" i="22" a="1"/>
  <c r="AH31" i="22" a="1"/>
  <c r="AH34" i="22" a="1"/>
  <c r="AG24" i="28" a="1"/>
  <c r="AG17" i="28" a="1"/>
  <c r="AG23" i="28" a="1"/>
  <c r="AG51" i="28" a="1"/>
  <c r="AG22" i="29" a="1"/>
  <c r="AG48" i="29" a="1"/>
  <c r="AG18" i="29" a="1"/>
  <c r="AG21" i="26" a="1"/>
  <c r="AG40" i="26" a="1"/>
  <c r="AG39" i="26" a="1"/>
  <c r="AG35" i="26" a="1"/>
  <c r="AG48" i="27" a="1"/>
  <c r="AG33" i="27" a="1"/>
  <c r="AG24" i="27" a="1"/>
  <c r="AG52" i="24" a="1"/>
  <c r="AG17" i="24" a="1"/>
  <c r="AG35" i="24" a="1"/>
  <c r="AH16" i="21" a="1"/>
  <c r="AH33" i="21" a="1"/>
  <c r="AH25" i="21" a="1"/>
  <c r="AG35" i="25" a="1"/>
  <c r="AG29" i="25" a="1"/>
  <c r="AG45" i="25" a="1"/>
  <c r="AH54" i="20" a="1"/>
  <c r="AH42" i="20" a="1"/>
  <c r="AH50" i="20" a="1"/>
  <c r="AH26" i="19" a="1"/>
  <c r="AH51" i="19" a="1"/>
  <c r="AH54" i="19" a="1"/>
  <c r="AH41" i="19" a="1"/>
  <c r="AH25" i="23" a="1"/>
  <c r="AH15" i="23" a="1"/>
  <c r="AH48" i="23" a="1"/>
  <c r="AH26" i="9" a="1"/>
  <c r="AH48" i="9" a="1"/>
  <c r="AH18" i="9" a="1"/>
  <c r="AH44" i="22" a="1"/>
  <c r="AH18" i="22" a="1"/>
  <c r="AG42" i="28" a="1"/>
  <c r="AG29" i="28" a="1"/>
  <c r="AG35" i="28" a="1"/>
  <c r="AG21" i="29" a="1"/>
  <c r="AG33" i="29" a="1"/>
  <c r="AG38" i="26" a="1"/>
  <c r="AG36" i="26" a="1"/>
  <c r="AG44" i="26" a="1"/>
  <c r="AG52" i="26" a="1"/>
  <c r="AH46" i="21" a="1"/>
  <c r="AG53" i="25" a="1"/>
  <c r="AH40" i="20" a="1"/>
  <c r="AH45" i="20" a="1"/>
  <c r="AH16" i="19" a="1"/>
  <c r="AH35" i="23" a="1"/>
  <c r="AH50" i="9" a="1"/>
  <c r="AH37" i="22" a="1"/>
  <c r="AG31" i="28" a="1"/>
  <c r="AG20" i="29" a="1"/>
  <c r="AG18" i="26" a="1"/>
  <c r="AG15" i="24" a="1"/>
  <c r="AH49" i="21" a="1"/>
  <c r="AG25" i="25" a="1"/>
  <c r="AH43" i="19" a="1"/>
  <c r="AG54" i="27" a="1"/>
  <c r="AG30" i="27" a="1"/>
  <c r="AG15" i="27" a="1"/>
  <c r="AG19" i="24" a="1"/>
  <c r="AG23" i="24" a="1"/>
  <c r="AG43" i="24" a="1"/>
  <c r="AG32" i="24" a="1"/>
  <c r="AH28" i="21" a="1"/>
  <c r="AH29" i="21" a="1"/>
  <c r="AH42" i="21" a="1"/>
  <c r="AG24" i="25" a="1"/>
  <c r="AG49" i="25" a="1"/>
  <c r="AG22" i="25" a="1"/>
  <c r="AG40" i="25" a="1"/>
  <c r="AH52" i="20" a="1"/>
  <c r="AH32" i="20" a="1"/>
  <c r="AH33" i="20" a="1"/>
  <c r="AH30" i="19" a="1"/>
  <c r="AH22" i="19" a="1"/>
  <c r="AH53" i="19" a="1"/>
  <c r="AH28" i="19" a="1"/>
  <c r="AH33" i="23" a="1"/>
  <c r="AH43" i="23" a="1"/>
  <c r="AH33" i="9" a="1"/>
  <c r="AH46" i="9" a="1"/>
  <c r="AH49" i="9" a="1"/>
  <c r="AH19" i="9" a="1"/>
  <c r="AH40" i="22" a="1"/>
  <c r="AH45" i="22" a="1"/>
  <c r="AH24" i="22" a="1"/>
  <c r="AG34" i="28" a="1"/>
  <c r="AG15" i="28" a="1"/>
  <c r="AG48" i="28" a="1"/>
  <c r="AG50" i="28" a="1"/>
  <c r="AG26" i="29" a="1"/>
  <c r="AG45" i="29" a="1"/>
  <c r="AG16" i="29" a="1"/>
  <c r="AG30" i="26" a="1"/>
  <c r="AG46" i="26" a="1"/>
  <c r="AG49" i="26" a="1"/>
  <c r="AG17" i="27" a="1"/>
  <c r="AG20" i="27" a="1"/>
  <c r="AG21" i="27" a="1"/>
  <c r="AG47" i="24" a="1"/>
  <c r="AH40" i="21" a="1"/>
  <c r="AH39" i="20" a="1"/>
  <c r="AH21" i="22" a="1"/>
  <c r="AG22" i="26" a="1"/>
  <c r="AG22" i="26" l="1"/>
  <c r="AH21" i="22"/>
  <c r="AH39" i="20"/>
  <c r="AH40" i="21"/>
  <c r="AG47" i="24"/>
  <c r="AG21" i="27"/>
  <c r="AG20" i="27"/>
  <c r="AG17" i="27"/>
  <c r="AG49" i="26"/>
  <c r="AG46" i="26"/>
  <c r="AG30" i="26"/>
  <c r="AG16" i="29"/>
  <c r="AG45" i="29"/>
  <c r="AG26" i="29"/>
  <c r="AG50" i="28"/>
  <c r="AG48" i="28"/>
  <c r="AG15" i="28"/>
  <c r="AG34" i="28"/>
  <c r="AH24" i="22"/>
  <c r="AH45" i="22"/>
  <c r="AH40" i="22"/>
  <c r="AH19" i="9"/>
  <c r="AH49" i="9"/>
  <c r="AH46" i="9"/>
  <c r="AH33" i="9"/>
  <c r="AH43" i="23"/>
  <c r="AH33" i="23"/>
  <c r="AH28" i="19"/>
  <c r="AH53" i="19"/>
  <c r="AH22" i="19"/>
  <c r="AH30" i="19"/>
  <c r="AH33" i="20"/>
  <c r="AH32" i="20"/>
  <c r="AH52" i="20"/>
  <c r="AG40" i="25"/>
  <c r="AG22" i="25"/>
  <c r="AG49" i="25"/>
  <c r="AG24" i="25"/>
  <c r="AH42" i="21"/>
  <c r="AH29" i="21"/>
  <c r="AH28" i="21"/>
  <c r="AG32" i="24"/>
  <c r="AG43" i="24"/>
  <c r="AG23" i="24"/>
  <c r="AG19" i="24"/>
  <c r="AG15" i="27"/>
  <c r="AG30" i="27"/>
  <c r="AG54" i="27"/>
  <c r="AH43" i="19"/>
  <c r="AG25" i="25"/>
  <c r="AH49" i="21"/>
  <c r="AG15" i="24"/>
  <c r="AG18" i="26"/>
  <c r="AG20" i="29"/>
  <c r="AG31" i="28"/>
  <c r="AH37" i="22"/>
  <c r="AH50" i="9"/>
  <c r="AH35" i="23"/>
  <c r="AH16" i="19"/>
  <c r="AH45" i="20"/>
  <c r="AH40" i="20"/>
  <c r="AG53" i="25"/>
  <c r="AH46" i="21"/>
  <c r="AG52" i="26"/>
  <c r="AG44" i="26"/>
  <c r="AG36" i="26"/>
  <c r="AG38" i="26"/>
  <c r="AG33" i="29"/>
  <c r="AG21" i="29"/>
  <c r="AG35" i="28"/>
  <c r="AG29" i="28"/>
  <c r="AG42" i="28"/>
  <c r="AH18" i="22"/>
  <c r="AH44" i="22"/>
  <c r="AH18" i="9"/>
  <c r="AH48" i="9"/>
  <c r="AH26" i="9"/>
  <c r="AH48" i="23"/>
  <c r="AH15" i="23"/>
  <c r="AH25" i="23"/>
  <c r="AH41" i="19"/>
  <c r="AH54" i="19"/>
  <c r="AH51" i="19"/>
  <c r="AH26" i="19"/>
  <c r="AH50" i="20"/>
  <c r="AH42" i="20"/>
  <c r="AH54" i="20"/>
  <c r="AG45" i="25"/>
  <c r="AG29" i="25"/>
  <c r="AG35" i="25"/>
  <c r="AH25" i="21"/>
  <c r="AH33" i="21"/>
  <c r="AH16" i="21"/>
  <c r="AG35" i="24"/>
  <c r="AG17" i="24"/>
  <c r="AG52" i="24"/>
  <c r="AG24" i="27"/>
  <c r="AG33" i="27"/>
  <c r="AG48" i="27"/>
  <c r="AG35" i="26"/>
  <c r="AG39" i="26"/>
  <c r="AG40" i="26"/>
  <c r="AG21" i="26"/>
  <c r="AG18" i="29"/>
  <c r="AG48" i="29"/>
  <c r="AG22" i="29"/>
  <c r="AG51" i="28"/>
  <c r="AG23" i="28"/>
  <c r="AG17" i="28"/>
  <c r="AG24" i="28"/>
  <c r="AH34" i="22"/>
  <c r="AH31" i="22"/>
  <c r="AH25" i="22"/>
  <c r="AH30" i="9"/>
  <c r="AH20" i="9"/>
  <c r="AH16" i="9"/>
  <c r="AH21" i="9"/>
  <c r="AH45" i="23"/>
  <c r="AH50" i="23"/>
  <c r="AH46" i="19"/>
  <c r="AH24" i="19"/>
  <c r="AH39" i="19"/>
  <c r="AH24" i="20"/>
  <c r="AH35" i="20"/>
  <c r="AH34" i="20"/>
  <c r="AG15" i="25"/>
  <c r="AG48" i="25"/>
  <c r="AG43" i="25"/>
  <c r="AH36" i="21"/>
  <c r="AH53" i="21"/>
  <c r="AH44" i="21"/>
  <c r="AG20" i="24"/>
  <c r="AG51" i="24"/>
  <c r="AG46" i="24"/>
  <c r="AG16" i="24"/>
  <c r="AG38" i="27"/>
  <c r="AG45" i="27"/>
  <c r="AG39" i="27"/>
  <c r="AG31" i="29"/>
  <c r="AG18" i="28"/>
  <c r="AH50" i="22"/>
  <c r="AH22" i="9"/>
  <c r="AH33" i="19"/>
  <c r="AG23" i="25"/>
  <c r="AG52" i="28"/>
  <c r="AG46" i="28"/>
  <c r="AH37" i="9"/>
  <c r="AH22" i="20"/>
  <c r="AG27" i="25"/>
  <c r="AG40" i="24"/>
  <c r="AG53" i="26"/>
  <c r="AG46" i="29"/>
  <c r="AG36" i="29"/>
  <c r="AG41" i="29"/>
  <c r="AG27" i="28"/>
  <c r="AG40" i="28"/>
  <c r="AG44" i="28"/>
  <c r="AG28" i="28"/>
  <c r="AH26" i="22"/>
  <c r="AH28" i="22"/>
  <c r="AH51" i="9"/>
  <c r="AH43" i="9"/>
  <c r="AH17" i="9"/>
  <c r="AH15" i="9"/>
  <c r="AH51" i="23"/>
  <c r="AH39" i="23"/>
  <c r="AH42" i="23"/>
  <c r="AH50" i="19"/>
  <c r="AH21" i="19"/>
  <c r="AH40" i="19"/>
  <c r="AH51" i="20"/>
  <c r="AH29" i="20"/>
  <c r="AH16" i="20"/>
  <c r="AG31" i="25"/>
  <c r="AG44" i="25"/>
  <c r="AG32" i="25"/>
  <c r="AG54" i="25"/>
  <c r="AH41" i="21"/>
  <c r="AH31" i="21"/>
  <c r="AH19" i="21"/>
  <c r="AG44" i="24"/>
  <c r="AG36" i="24"/>
  <c r="AG21" i="24"/>
  <c r="AG45" i="24"/>
  <c r="AG22" i="27"/>
  <c r="AG43" i="27"/>
  <c r="AG42" i="27"/>
  <c r="AG29" i="26"/>
  <c r="AG49" i="29"/>
  <c r="AG23" i="29"/>
  <c r="AG36" i="25"/>
  <c r="AH15" i="21"/>
  <c r="AG36" i="27"/>
  <c r="AH17" i="20"/>
  <c r="AH18" i="21"/>
  <c r="AG48" i="24"/>
  <c r="AG43" i="26"/>
  <c r="AG38" i="29"/>
  <c r="AG44" i="29"/>
  <c r="AG40" i="29"/>
  <c r="AG39" i="29"/>
  <c r="AG26" i="28"/>
  <c r="AG38" i="28"/>
  <c r="AG32" i="28"/>
  <c r="AH41" i="22"/>
  <c r="AH15" i="22"/>
  <c r="AH35" i="22"/>
  <c r="AH33" i="22"/>
  <c r="AH36" i="9"/>
  <c r="AH47" i="9"/>
  <c r="AH34" i="9"/>
  <c r="AH38" i="23"/>
  <c r="AH54" i="23"/>
  <c r="AH23" i="23"/>
  <c r="AH30" i="23"/>
  <c r="AH27" i="19"/>
  <c r="AH44" i="19"/>
  <c r="AH18" i="19"/>
  <c r="AH47" i="20"/>
  <c r="AH38" i="20"/>
  <c r="AH19" i="20"/>
  <c r="AH41" i="20"/>
  <c r="AG28" i="25"/>
  <c r="AG51" i="25"/>
  <c r="AG19" i="25"/>
  <c r="AH37" i="21"/>
  <c r="AH43" i="21"/>
  <c r="AH22" i="21"/>
  <c r="AH45" i="21"/>
  <c r="AG50" i="24"/>
  <c r="AG33" i="24"/>
  <c r="AG42" i="24"/>
  <c r="AG18" i="27"/>
  <c r="AG25" i="27"/>
  <c r="AG34" i="27"/>
  <c r="AG29" i="27"/>
  <c r="AH17" i="22"/>
  <c r="AG17" i="26"/>
  <c r="AG50" i="26"/>
  <c r="AG47" i="29"/>
  <c r="AG20" i="28"/>
  <c r="AG34" i="24"/>
  <c r="AG50" i="27"/>
  <c r="AG48" i="26"/>
  <c r="AG47" i="28"/>
  <c r="AH42" i="9"/>
  <c r="AH47" i="23"/>
  <c r="AH32" i="19"/>
  <c r="AG38" i="25"/>
  <c r="AG24" i="24"/>
  <c r="AG37" i="27"/>
  <c r="AG42" i="26"/>
  <c r="AG24" i="29"/>
  <c r="AG37" i="29"/>
  <c r="AG34" i="29"/>
  <c r="AG53" i="28"/>
  <c r="AH47" i="22"/>
  <c r="AH24" i="9"/>
  <c r="AH39" i="9"/>
  <c r="AH27" i="23"/>
  <c r="AH45" i="19"/>
  <c r="AH21" i="21"/>
  <c r="AG32" i="29"/>
  <c r="AG25" i="26"/>
  <c r="AG50" i="29"/>
  <c r="AG49" i="28"/>
  <c r="AH49" i="22"/>
  <c r="AH23" i="9"/>
  <c r="AH28" i="9"/>
  <c r="AH34" i="19"/>
  <c r="AH15" i="20"/>
  <c r="AG54" i="26"/>
  <c r="AG25" i="28"/>
  <c r="AH48" i="22"/>
  <c r="AH31" i="23"/>
  <c r="AH42" i="19"/>
  <c r="AH38" i="19"/>
  <c r="AG31" i="27"/>
  <c r="AG41" i="26"/>
  <c r="AG37" i="26"/>
  <c r="AG53" i="29"/>
  <c r="AG36" i="28"/>
  <c r="AG30" i="28"/>
  <c r="AH54" i="22"/>
  <c r="AH23" i="22"/>
  <c r="AH20" i="22"/>
  <c r="AH53" i="9"/>
  <c r="AH32" i="23"/>
  <c r="AH28" i="23"/>
  <c r="AH37" i="23"/>
  <c r="AH48" i="19"/>
  <c r="AH37" i="19"/>
  <c r="AH30" i="20"/>
  <c r="AH43" i="20"/>
  <c r="AH48" i="20"/>
  <c r="AH27" i="20"/>
  <c r="AG20" i="25"/>
  <c r="AG17" i="25"/>
  <c r="AG41" i="25"/>
  <c r="AH32" i="21"/>
  <c r="AH17" i="21"/>
  <c r="AH20" i="21"/>
  <c r="AG18" i="24"/>
  <c r="AG29" i="24"/>
  <c r="AG22" i="24"/>
  <c r="AG47" i="27"/>
  <c r="AG51" i="27"/>
  <c r="AG19" i="27"/>
  <c r="AG15" i="26"/>
  <c r="AG28" i="26"/>
  <c r="AG24" i="26"/>
  <c r="AG25" i="29"/>
  <c r="AG28" i="29"/>
  <c r="AG17" i="29"/>
  <c r="AG19" i="29"/>
  <c r="AG22" i="28"/>
  <c r="AG41" i="28"/>
  <c r="AG37" i="28"/>
  <c r="AH16" i="22"/>
  <c r="AH39" i="22"/>
  <c r="AH42" i="22"/>
  <c r="AH32" i="22"/>
  <c r="AH27" i="9"/>
  <c r="AH45" i="9"/>
  <c r="AH44" i="9"/>
  <c r="AH36" i="23"/>
  <c r="AH17" i="23"/>
  <c r="AH52" i="23"/>
  <c r="AH46" i="23"/>
  <c r="AH36" i="19"/>
  <c r="AH20" i="19"/>
  <c r="AH52" i="19"/>
  <c r="AH28" i="20"/>
  <c r="AH53" i="20"/>
  <c r="AH46" i="20"/>
  <c r="AH18" i="20"/>
  <c r="AG18" i="25"/>
  <c r="AG39" i="25"/>
  <c r="AG52" i="25"/>
  <c r="AH23" i="21"/>
  <c r="AH51" i="21"/>
  <c r="AH26" i="21"/>
  <c r="AH35" i="21"/>
  <c r="AG39" i="24"/>
  <c r="AG27" i="24"/>
  <c r="AG37" i="24"/>
  <c r="AG40" i="27"/>
  <c r="AG41" i="27"/>
  <c r="AG23" i="27"/>
  <c r="AG16" i="27"/>
  <c r="AH31" i="9"/>
  <c r="AH49" i="23"/>
  <c r="AH26" i="23"/>
  <c r="AH17" i="19"/>
  <c r="AG54" i="24"/>
  <c r="AG16" i="26"/>
  <c r="AG51" i="29"/>
  <c r="AG52" i="29"/>
  <c r="AH51" i="22"/>
  <c r="AH38" i="9"/>
  <c r="AH31" i="19"/>
  <c r="AG47" i="25"/>
  <c r="AH52" i="21"/>
  <c r="AG26" i="27"/>
  <c r="AG32" i="26"/>
  <c r="AG47" i="26"/>
  <c r="AG26" i="26"/>
  <c r="AG51" i="26"/>
  <c r="AG20" i="26"/>
  <c r="AG27" i="26"/>
  <c r="AG54" i="29"/>
  <c r="AG42" i="29"/>
  <c r="AG43" i="29"/>
  <c r="AG27" i="29"/>
  <c r="AG54" i="28"/>
  <c r="AG33" i="28"/>
  <c r="AG21" i="28"/>
  <c r="AH29" i="22"/>
  <c r="AH52" i="22"/>
  <c r="AH53" i="22"/>
  <c r="AH43" i="22"/>
  <c r="AH32" i="9"/>
  <c r="AH25" i="9"/>
  <c r="AH53" i="23"/>
  <c r="AH24" i="23"/>
  <c r="AH16" i="23"/>
  <c r="AH44" i="23"/>
  <c r="AH49" i="19"/>
  <c r="AH25" i="19"/>
  <c r="AH19" i="19"/>
  <c r="AH31" i="20"/>
  <c r="AH25" i="20"/>
  <c r="AH26" i="20"/>
  <c r="AG16" i="25"/>
  <c r="AG26" i="25"/>
  <c r="AG42" i="25"/>
  <c r="AH48" i="21"/>
  <c r="AH30" i="21"/>
  <c r="AH39" i="21"/>
  <c r="AG53" i="24"/>
  <c r="AG38" i="24"/>
  <c r="AG25" i="24"/>
  <c r="AG35" i="27"/>
  <c r="AG32" i="27"/>
  <c r="AG27" i="27"/>
  <c r="AG53" i="27"/>
  <c r="AG45" i="26"/>
  <c r="AG30" i="29"/>
  <c r="AG16" i="28"/>
  <c r="AG33" i="26"/>
  <c r="AG39" i="28"/>
  <c r="AH38" i="22"/>
  <c r="AH34" i="23"/>
  <c r="AH23" i="19"/>
  <c r="AH36" i="20"/>
  <c r="AG30" i="25"/>
  <c r="AG46" i="25"/>
  <c r="AH50" i="21"/>
  <c r="AH24" i="21"/>
  <c r="AG41" i="24"/>
  <c r="AG46" i="27"/>
  <c r="AG23" i="26"/>
  <c r="AH36" i="22"/>
  <c r="AH52" i="9"/>
  <c r="AH20" i="23"/>
  <c r="AH37" i="20"/>
  <c r="AG37" i="25"/>
  <c r="AG26" i="24"/>
  <c r="AG34" i="26"/>
  <c r="AG19" i="26"/>
  <c r="AG31" i="26"/>
  <c r="AG15" i="29"/>
  <c r="AG35" i="29"/>
  <c r="AG29" i="29"/>
  <c r="AG45" i="28"/>
  <c r="AG19" i="28"/>
  <c r="AG43" i="28"/>
  <c r="AH27" i="22"/>
  <c r="AH22" i="22"/>
  <c r="AH30" i="22"/>
  <c r="AH19" i="22"/>
  <c r="AH54" i="9"/>
  <c r="AH41" i="9"/>
  <c r="AH29" i="9"/>
  <c r="AH21" i="23"/>
  <c r="AH22" i="23"/>
  <c r="AH41" i="23"/>
  <c r="AH18" i="23"/>
  <c r="AH29" i="19"/>
  <c r="AH35" i="19"/>
  <c r="AH47" i="19"/>
  <c r="AH49" i="20"/>
  <c r="AH21" i="20"/>
  <c r="AH20" i="20"/>
  <c r="AH23" i="20"/>
  <c r="AG21" i="25"/>
  <c r="AG34" i="25"/>
  <c r="AG50" i="25"/>
  <c r="AH54" i="21"/>
  <c r="AH38" i="21"/>
  <c r="AH27" i="21"/>
  <c r="AH47" i="21"/>
  <c r="AG49" i="24"/>
  <c r="AG28" i="24"/>
  <c r="AG31" i="24"/>
  <c r="AG52" i="27"/>
  <c r="AG28" i="27"/>
  <c r="AG49" i="27"/>
  <c r="AG44" i="27"/>
  <c r="AH46" i="22"/>
  <c r="AH35" i="9"/>
  <c r="AH40" i="9"/>
  <c r="AH29" i="23"/>
  <c r="AH19" i="23"/>
  <c r="AH40" i="23"/>
  <c r="AH15" i="19"/>
  <c r="AH44" i="20"/>
  <c r="AG33" i="25"/>
  <c r="AH34" i="21"/>
  <c r="AG30" i="24"/>
  <c r="AH12" i="27"/>
  <c r="AI11" i="27"/>
  <c r="AH12" i="24"/>
  <c r="AI11" i="24"/>
  <c r="AI12" i="23"/>
  <c r="AI12" i="19"/>
  <c r="AI11" i="25"/>
  <c r="AH12" i="25"/>
  <c r="AH12" i="29"/>
  <c r="AI11" i="29"/>
  <c r="AI12" i="22"/>
  <c r="AI11" i="28"/>
  <c r="AH12" i="28"/>
  <c r="AH12" i="26"/>
  <c r="AI11" i="26"/>
  <c r="AI12" i="9"/>
  <c r="AI12" i="21"/>
  <c r="AI12" i="20"/>
  <c r="AH33" i="27" a="1"/>
  <c r="AH28" i="27" a="1"/>
  <c r="AH50" i="24" a="1"/>
  <c r="AH41" i="24" a="1"/>
  <c r="AI25" i="23" a="1"/>
  <c r="AH33" i="25" a="1"/>
  <c r="AI30" i="22" a="1"/>
  <c r="AH46" i="26" a="1"/>
  <c r="AI34" i="9" a="1"/>
  <c r="AI25" i="20" a="1"/>
  <c r="AI15" i="19" a="1"/>
  <c r="AH18" i="29" a="1"/>
  <c r="AI31" i="22" a="1"/>
  <c r="AH44" i="28" a="1"/>
  <c r="AI21" i="9" a="1"/>
  <c r="AH21" i="27" a="1"/>
  <c r="AI49" i="23" a="1"/>
  <c r="AI23" i="22" a="1"/>
  <c r="AH26" i="24" a="1"/>
  <c r="AI52" i="19" a="1"/>
  <c r="AI17" i="19" a="1"/>
  <c r="AH28" i="25" a="1"/>
  <c r="AH35" i="29" a="1"/>
  <c r="AH39" i="28" a="1"/>
  <c r="AH27" i="26" a="1"/>
  <c r="AH34" i="27" a="1"/>
  <c r="AH23" i="27" a="1"/>
  <c r="AH15" i="27" a="1"/>
  <c r="AH51" i="24" a="1"/>
  <c r="AH27" i="24" a="1"/>
  <c r="AH25" i="24" a="1"/>
  <c r="AI15" i="23" a="1"/>
  <c r="AI23" i="23" a="1"/>
  <c r="AI41" i="23" a="1"/>
  <c r="AI51" i="23" a="1"/>
  <c r="AI48" i="19" a="1"/>
  <c r="AI43" i="19" a="1"/>
  <c r="AH24" i="25" a="1"/>
  <c r="AH16" i="25" a="1"/>
  <c r="AH54" i="25" a="1"/>
  <c r="AH32" i="29" a="1"/>
  <c r="AH24" i="29" a="1"/>
  <c r="AH53" i="29" a="1"/>
  <c r="AI51" i="22" a="1"/>
  <c r="AI47" i="22" a="1"/>
  <c r="AI44" i="22" a="1"/>
  <c r="AI35" i="22" a="1"/>
  <c r="AH38" i="28" a="1"/>
  <c r="AH40" i="28" a="1"/>
  <c r="AH43" i="28" a="1"/>
  <c r="AH41" i="26" a="1"/>
  <c r="AH19" i="26" a="1"/>
  <c r="AH53" i="26" a="1"/>
  <c r="AH30" i="26" a="1"/>
  <c r="AI48" i="9" a="1"/>
  <c r="AI51" i="9" a="1"/>
  <c r="AI18" i="9" a="1"/>
  <c r="AI36" i="21" a="1"/>
  <c r="AI47" i="21" a="1"/>
  <c r="AI39" i="21" a="1"/>
  <c r="AI51" i="20" a="1"/>
  <c r="AH46" i="25" a="1"/>
  <c r="AH42" i="29" a="1"/>
  <c r="AH21" i="28" a="1"/>
  <c r="AH18" i="26" a="1"/>
  <c r="AI15" i="9" a="1"/>
  <c r="AH49" i="24" a="1"/>
  <c r="AI42" i="19" a="1"/>
  <c r="AH19" i="25" a="1"/>
  <c r="AI19" i="21" a="1"/>
  <c r="AI39" i="20" a="1"/>
  <c r="AH38" i="27" a="1"/>
  <c r="AI45" i="20" a="1"/>
  <c r="AH54" i="27" a="1"/>
  <c r="AH41" i="27" a="1"/>
  <c r="AH20" i="27" a="1"/>
  <c r="AH32" i="27" a="1"/>
  <c r="AH20" i="24" a="1"/>
  <c r="AH24" i="24" a="1"/>
  <c r="AH40" i="24" a="1"/>
  <c r="AI47" i="23" a="1"/>
  <c r="AI42" i="23" a="1"/>
  <c r="AI18" i="23" a="1"/>
  <c r="AI26" i="23" a="1"/>
  <c r="AI37" i="19" a="1"/>
  <c r="AI22" i="19" a="1"/>
  <c r="AI47" i="19" a="1"/>
  <c r="AH43" i="25" a="1"/>
  <c r="AH30" i="25" a="1"/>
  <c r="AH31" i="25" a="1"/>
  <c r="AH50" i="25" a="1"/>
  <c r="AH25" i="29" a="1"/>
  <c r="AH45" i="29" a="1"/>
  <c r="AH49" i="29" a="1"/>
  <c r="AI36" i="22" a="1"/>
  <c r="AI48" i="22" a="1"/>
  <c r="AI29" i="22" a="1"/>
  <c r="AI27" i="22" a="1"/>
  <c r="AH54" i="28" a="1"/>
  <c r="AH34" i="28" a="1"/>
  <c r="AH52" i="26" a="1"/>
  <c r="AH26" i="26" a="1"/>
  <c r="AH48" i="26" a="1"/>
  <c r="AH29" i="26" a="1"/>
  <c r="AI16" i="9" a="1"/>
  <c r="AI47" i="9" a="1"/>
  <c r="AI30" i="9" a="1"/>
  <c r="AI46" i="21" a="1"/>
  <c r="AI42" i="21" a="1"/>
  <c r="AI29" i="21" a="1"/>
  <c r="AI42" i="20" a="1"/>
  <c r="AI38" i="20" a="1"/>
  <c r="AI20" i="20" a="1"/>
  <c r="AI16" i="20" a="1"/>
  <c r="AH26" i="27" a="1"/>
  <c r="AH42" i="27" a="1"/>
  <c r="AH17" i="27" a="1"/>
  <c r="AH43" i="27" a="1"/>
  <c r="AH43" i="24" a="1"/>
  <c r="AH18" i="24" a="1"/>
  <c r="AH37" i="24" a="1"/>
  <c r="AI37" i="23" a="1"/>
  <c r="AI40" i="23" a="1"/>
  <c r="AI44" i="23" a="1"/>
  <c r="AI27" i="19" a="1"/>
  <c r="AI51" i="19" a="1"/>
  <c r="AI40" i="19" a="1"/>
  <c r="AH48" i="25" a="1"/>
  <c r="AH44" i="25" a="1"/>
  <c r="AH23" i="29" a="1"/>
  <c r="AH33" i="26" a="1"/>
  <c r="AI52" i="21" a="1"/>
  <c r="AI23" i="20" a="1"/>
  <c r="AH37" i="25" a="1"/>
  <c r="AH17" i="28" a="1"/>
  <c r="AH36" i="26" a="1"/>
  <c r="AI23" i="9" a="1"/>
  <c r="AI17" i="20" a="1"/>
  <c r="AH45" i="28" a="1"/>
  <c r="AI21" i="21" a="1"/>
  <c r="AH16" i="24" a="1"/>
  <c r="AI17" i="23" a="1"/>
  <c r="AI26" i="22" a="1"/>
  <c r="AH47" i="28" a="1"/>
  <c r="AI28" i="9" a="1"/>
  <c r="AI34" i="20" a="1"/>
  <c r="AI19" i="20" a="1"/>
  <c r="AI35" i="20" a="1"/>
  <c r="AI22" i="20" a="1"/>
  <c r="AI36" i="23" a="1"/>
  <c r="AH28" i="29" a="1"/>
  <c r="AH35" i="28" a="1"/>
  <c r="AI24" i="9" a="1"/>
  <c r="AI41" i="21" a="1"/>
  <c r="AI15" i="20" a="1"/>
  <c r="AH53" i="24" a="1"/>
  <c r="AH28" i="28" a="1"/>
  <c r="AI41" i="20" a="1"/>
  <c r="AH45" i="24" a="1"/>
  <c r="AH32" i="25" a="1"/>
  <c r="AH24" i="28" a="1"/>
  <c r="AI40" i="9" a="1"/>
  <c r="AI37" i="21" a="1"/>
  <c r="AH37" i="27" a="1"/>
  <c r="AH39" i="27" a="1"/>
  <c r="AH19" i="27" a="1"/>
  <c r="AH52" i="27" a="1"/>
  <c r="AH47" i="24" a="1"/>
  <c r="AH29" i="24" a="1"/>
  <c r="AH54" i="24" a="1"/>
  <c r="AI24" i="23" a="1"/>
  <c r="AI48" i="23" a="1"/>
  <c r="AI32" i="23" a="1"/>
  <c r="AI52" i="23" a="1"/>
  <c r="AI44" i="19" a="1"/>
  <c r="AI36" i="19" a="1"/>
  <c r="AI30" i="19" a="1"/>
  <c r="AH34" i="25" a="1"/>
  <c r="AH40" i="25" a="1"/>
  <c r="AH20" i="25" a="1"/>
  <c r="AH39" i="29" a="1"/>
  <c r="AH27" i="29" a="1"/>
  <c r="AH54" i="29" a="1"/>
  <c r="AH15" i="29" a="1"/>
  <c r="AI46" i="22" a="1"/>
  <c r="AI20" i="22" a="1"/>
  <c r="AI25" i="22" a="1"/>
  <c r="AH41" i="28" a="1"/>
  <c r="AH49" i="28" a="1"/>
  <c r="AH30" i="28" a="1"/>
  <c r="AH27" i="28" a="1"/>
  <c r="AH44" i="26" a="1"/>
  <c r="AH25" i="26" a="1"/>
  <c r="AH23" i="26" a="1"/>
  <c r="AI38" i="9" a="1"/>
  <c r="AI54" i="9" a="1"/>
  <c r="AI46" i="9" a="1"/>
  <c r="AI17" i="9" a="1"/>
  <c r="AI27" i="21" a="1"/>
  <c r="AH29" i="25" a="1"/>
  <c r="AI43" i="9" a="1"/>
  <c r="AI27" i="23" a="1"/>
  <c r="AI34" i="19" a="1"/>
  <c r="AI28" i="22" a="1"/>
  <c r="AI25" i="9" a="1"/>
  <c r="AI18" i="20" a="1"/>
  <c r="AH46" i="27" a="1"/>
  <c r="AH30" i="27" a="1"/>
  <c r="AH16" i="27" a="1"/>
  <c r="AH18" i="27" a="1"/>
  <c r="AH23" i="24" a="1"/>
  <c r="AH28" i="24" a="1"/>
  <c r="AH33" i="24" a="1"/>
  <c r="AI50" i="23" a="1"/>
  <c r="AI45" i="23" a="1"/>
  <c r="AI18" i="19" a="1"/>
  <c r="AI16" i="19" a="1"/>
  <c r="AI50" i="19" a="1"/>
  <c r="AI45" i="19" a="1"/>
  <c r="AH47" i="25" a="1"/>
  <c r="AH41" i="25" a="1"/>
  <c r="AH45" i="25" a="1"/>
  <c r="AH41" i="29" a="1"/>
  <c r="AH20" i="29" a="1"/>
  <c r="AH21" i="29" a="1"/>
  <c r="AH48" i="29" a="1"/>
  <c r="AI50" i="22" a="1"/>
  <c r="AI18" i="22" a="1"/>
  <c r="AI45" i="22" a="1"/>
  <c r="AH29" i="28" a="1"/>
  <c r="AH19" i="28" a="1"/>
  <c r="AH52" i="28" a="1"/>
  <c r="AH36" i="28" a="1"/>
  <c r="AH54" i="26" a="1"/>
  <c r="AH38" i="26" a="1"/>
  <c r="AH43" i="26" a="1"/>
  <c r="AI29" i="9" a="1"/>
  <c r="AI42" i="9" a="1"/>
  <c r="AI20" i="9" a="1"/>
  <c r="AI45" i="9" a="1"/>
  <c r="AI43" i="21" a="1"/>
  <c r="AI48" i="21" a="1"/>
  <c r="AI20" i="21" a="1"/>
  <c r="AI44" i="20" a="1"/>
  <c r="AI47" i="20" a="1"/>
  <c r="AI54" i="20" a="1"/>
  <c r="AI31" i="20" a="1"/>
  <c r="AH31" i="27" a="1"/>
  <c r="AH19" i="24" a="1"/>
  <c r="AH31" i="24" a="1"/>
  <c r="AH21" i="24" a="1"/>
  <c r="AI34" i="23" a="1"/>
  <c r="AI20" i="19" a="1"/>
  <c r="AI49" i="19" a="1"/>
  <c r="AI35" i="19" a="1"/>
  <c r="AH26" i="25" a="1"/>
  <c r="AH44" i="29" a="1"/>
  <c r="AI32" i="22" a="1"/>
  <c r="AH23" i="28" a="1"/>
  <c r="AI40" i="21" a="1"/>
  <c r="AI31" i="19" a="1"/>
  <c r="AH17" i="29" a="1"/>
  <c r="AI46" i="19" a="1"/>
  <c r="AH29" i="29" a="1"/>
  <c r="AI54" i="21" a="1"/>
  <c r="AH36" i="27" a="1"/>
  <c r="AH44" i="27" a="1"/>
  <c r="AH17" i="24" a="1"/>
  <c r="AH46" i="29" a="1"/>
  <c r="AH15" i="26" a="1"/>
  <c r="AI37" i="20" a="1"/>
  <c r="AH22" i="27" a="1"/>
  <c r="AI38" i="19" a="1"/>
  <c r="AI40" i="22" a="1"/>
  <c r="AI39" i="9" a="1"/>
  <c r="AI43" i="20" a="1"/>
  <c r="AH27" i="25" a="1"/>
  <c r="AH22" i="29" a="1"/>
  <c r="AH50" i="28" a="1"/>
  <c r="AH17" i="26" a="1"/>
  <c r="AH49" i="26" a="1"/>
  <c r="AI37" i="9" a="1"/>
  <c r="AI53" i="20" a="1"/>
  <c r="AH40" i="27" a="1"/>
  <c r="AH47" i="27" a="1"/>
  <c r="AH27" i="27" a="1"/>
  <c r="AH46" i="24" a="1"/>
  <c r="AH30" i="24" a="1"/>
  <c r="AH48" i="24" a="1"/>
  <c r="AH36" i="24" a="1"/>
  <c r="AI46" i="23" a="1"/>
  <c r="AI43" i="23" a="1"/>
  <c r="AI19" i="23" a="1"/>
  <c r="AI24" i="19" a="1"/>
  <c r="AI21" i="19" a="1"/>
  <c r="AI41" i="19" a="1"/>
  <c r="AI23" i="19" a="1"/>
  <c r="AH51" i="25" a="1"/>
  <c r="AH15" i="25" a="1"/>
  <c r="AH49" i="25" a="1"/>
  <c r="AH34" i="29" a="1"/>
  <c r="AH31" i="29" a="1"/>
  <c r="AH40" i="29" a="1"/>
  <c r="AI39" i="22" a="1"/>
  <c r="AI15" i="22" a="1"/>
  <c r="AI19" i="22" a="1"/>
  <c r="AH51" i="28" a="1"/>
  <c r="AH33" i="28" a="1"/>
  <c r="AH16" i="28" a="1"/>
  <c r="AH15" i="28" a="1"/>
  <c r="AH32" i="26" a="1"/>
  <c r="AH42" i="26" a="1"/>
  <c r="AH16" i="26" a="1"/>
  <c r="AI53" i="9" a="1"/>
  <c r="AI19" i="9" a="1"/>
  <c r="AI50" i="9" a="1"/>
  <c r="AI26" i="9" a="1"/>
  <c r="AI33" i="21" a="1"/>
  <c r="AI51" i="21" a="1"/>
  <c r="AI24" i="21" a="1"/>
  <c r="AI40" i="20" a="1"/>
  <c r="AI52" i="20" a="1"/>
  <c r="AI46" i="20" a="1"/>
  <c r="AI30" i="23" a="1"/>
  <c r="AH47" i="29" a="1"/>
  <c r="AH25" i="28" a="1"/>
  <c r="AH47" i="26" a="1"/>
  <c r="AH51" i="26" a="1"/>
  <c r="AI31" i="9" a="1"/>
  <c r="AH53" i="27" a="1"/>
  <c r="AI29" i="23" a="1"/>
  <c r="AH28" i="26" a="1"/>
  <c r="AI53" i="21" a="1"/>
  <c r="AI39" i="19" a="1"/>
  <c r="AI37" i="22" a="1"/>
  <c r="AH48" i="27" a="1"/>
  <c r="AH45" i="27" a="1"/>
  <c r="AH25" i="27" a="1"/>
  <c r="AH39" i="24" a="1"/>
  <c r="AH44" i="24" a="1"/>
  <c r="AH15" i="24" a="1"/>
  <c r="AH38" i="24" a="1"/>
  <c r="AI20" i="23" a="1"/>
  <c r="AI38" i="23" a="1"/>
  <c r="AI16" i="23" a="1"/>
  <c r="AI26" i="19" a="1"/>
  <c r="AI28" i="19" a="1"/>
  <c r="AI32" i="19" a="1"/>
  <c r="AH38" i="25" a="1"/>
  <c r="AH17" i="25" a="1"/>
  <c r="AH53" i="25" a="1"/>
  <c r="AH51" i="29" a="1"/>
  <c r="AH52" i="29" a="1"/>
  <c r="AH30" i="29" a="1"/>
  <c r="AI41" i="22" a="1"/>
  <c r="AI49" i="22" a="1"/>
  <c r="AI16" i="22" a="1"/>
  <c r="AI34" i="22" a="1"/>
  <c r="AH53" i="28" a="1"/>
  <c r="AH22" i="28" a="1"/>
  <c r="AH35" i="26" a="1"/>
  <c r="AH40" i="26" a="1"/>
  <c r="AH22" i="26" a="1"/>
  <c r="AH39" i="26" a="1"/>
  <c r="AI44" i="9" a="1"/>
  <c r="AI49" i="9" a="1"/>
  <c r="AI32" i="9" a="1"/>
  <c r="AI35" i="21" a="1"/>
  <c r="AI28" i="21" a="1"/>
  <c r="AI44" i="21" a="1"/>
  <c r="AI15" i="21" a="1"/>
  <c r="AI48" i="20" a="1"/>
  <c r="AI36" i="20" a="1"/>
  <c r="AI24" i="20" a="1"/>
  <c r="AI30" i="20" a="1"/>
  <c r="AI50" i="20" a="1"/>
  <c r="AI27" i="20" a="1"/>
  <c r="AI49" i="20" a="1"/>
  <c r="AI32" i="20" a="1"/>
  <c r="AH39" i="25" a="1"/>
  <c r="AI43" i="22" a="1"/>
  <c r="AH26" i="28" a="1"/>
  <c r="AH45" i="26" a="1"/>
  <c r="AI41" i="9" a="1"/>
  <c r="AI16" i="21" a="1"/>
  <c r="AI29" i="20" a="1"/>
  <c r="AI38" i="21" a="1"/>
  <c r="AI53" i="23" a="1"/>
  <c r="AI38" i="22" a="1"/>
  <c r="AI52" i="9" a="1"/>
  <c r="AH24" i="27" a="1"/>
  <c r="AH32" i="24" a="1"/>
  <c r="AI35" i="23" a="1"/>
  <c r="AH36" i="29" a="1"/>
  <c r="AH16" i="29" a="1"/>
  <c r="AI53" i="22" a="1"/>
  <c r="AI32" i="21" a="1"/>
  <c r="AH49" i="27" a="1"/>
  <c r="AI26" i="21" a="1"/>
  <c r="AH51" i="27" a="1"/>
  <c r="AH35" i="27" a="1"/>
  <c r="AH29" i="27" a="1"/>
  <c r="AH52" i="24" a="1"/>
  <c r="AH22" i="24" a="1"/>
  <c r="AH42" i="24" a="1"/>
  <c r="AH35" i="24" a="1"/>
  <c r="AI22" i="23" a="1"/>
  <c r="AI28" i="23" a="1"/>
  <c r="AI33" i="23" a="1"/>
  <c r="AI53" i="19" a="1"/>
  <c r="AI54" i="19" a="1"/>
  <c r="AI29" i="19" a="1"/>
  <c r="AH42" i="25" a="1"/>
  <c r="AH23" i="25" a="1"/>
  <c r="AH21" i="25" a="1"/>
  <c r="AH18" i="25" a="1"/>
  <c r="AH19" i="29" a="1"/>
  <c r="AH43" i="29" a="1"/>
  <c r="AI24" i="22" a="1"/>
  <c r="AI54" i="22" a="1"/>
  <c r="AI33" i="22" a="1"/>
  <c r="AI17" i="22" a="1"/>
  <c r="AH32" i="28" a="1"/>
  <c r="AH37" i="28" a="1"/>
  <c r="AH48" i="28" a="1"/>
  <c r="AH21" i="26" a="1"/>
  <c r="AH24" i="26" a="1"/>
  <c r="AH31" i="26" a="1"/>
  <c r="AI36" i="9" a="1"/>
  <c r="AI35" i="9" a="1"/>
  <c r="AI18" i="21" a="1"/>
  <c r="AI45" i="21" a="1"/>
  <c r="AI50" i="21" a="1"/>
  <c r="AI31" i="21" a="1"/>
  <c r="AI26" i="20" a="1"/>
  <c r="AI21" i="20" a="1"/>
  <c r="AH50" i="27" a="1"/>
  <c r="AI54" i="23" a="1"/>
  <c r="AI21" i="23" a="1"/>
  <c r="AI39" i="23" a="1"/>
  <c r="AI25" i="19" a="1"/>
  <c r="AI33" i="19" a="1"/>
  <c r="AI19" i="19" a="1"/>
  <c r="AH36" i="25" a="1"/>
  <c r="AH25" i="25" a="1"/>
  <c r="AH35" i="25" a="1"/>
  <c r="AH50" i="29" a="1"/>
  <c r="AH37" i="29" a="1"/>
  <c r="AH33" i="29" a="1"/>
  <c r="AI52" i="22" a="1"/>
  <c r="AI42" i="22" a="1"/>
  <c r="AI21" i="22" a="1"/>
  <c r="AH20" i="28" a="1"/>
  <c r="AH18" i="28" a="1"/>
  <c r="AH42" i="28" a="1"/>
  <c r="AH37" i="26" a="1"/>
  <c r="AH34" i="26" a="1"/>
  <c r="AH20" i="26" a="1"/>
  <c r="AI33" i="9" a="1"/>
  <c r="AI22" i="9" a="1"/>
  <c r="AI27" i="9" a="1"/>
  <c r="AI22" i="21" a="1"/>
  <c r="AI49" i="21" a="1"/>
  <c r="AI17" i="21" a="1"/>
  <c r="AI28" i="20" a="1"/>
  <c r="AH26" i="29" a="1"/>
  <c r="AH46" i="28" a="1"/>
  <c r="AI23" i="21" a="1"/>
  <c r="AI33" i="20" a="1"/>
  <c r="AI30" i="21" a="1"/>
  <c r="AH22" i="25" a="1"/>
  <c r="AH50" i="26" a="1"/>
  <c r="AI25" i="21" a="1"/>
  <c r="AH52" i="25" a="1"/>
  <c r="AH31" i="28" a="1"/>
  <c r="AI34" i="21" a="1"/>
  <c r="AH34" i="24" a="1"/>
  <c r="AI31" i="23" a="1"/>
  <c r="AH38" i="29" a="1"/>
  <c r="AI22" i="22" a="1"/>
  <c r="AI22" i="22" l="1"/>
  <c r="AJ22" i="22" s="1"/>
  <c r="AH38" i="29"/>
  <c r="AI31" i="23"/>
  <c r="AJ31" i="23" s="1"/>
  <c r="AH34" i="24"/>
  <c r="AI34" i="21"/>
  <c r="AJ34" i="21" s="1"/>
  <c r="AH31" i="28"/>
  <c r="AH52" i="25"/>
  <c r="AI25" i="21"/>
  <c r="AJ25" i="21" s="1"/>
  <c r="AH50" i="26"/>
  <c r="AH22" i="25"/>
  <c r="AI30" i="21"/>
  <c r="AJ30" i="21" s="1"/>
  <c r="AI33" i="20"/>
  <c r="AJ33" i="20" s="1"/>
  <c r="AI23" i="21"/>
  <c r="AJ23" i="21" s="1"/>
  <c r="AH46" i="28"/>
  <c r="AH26" i="29"/>
  <c r="AI28" i="20"/>
  <c r="AJ28" i="20" s="1"/>
  <c r="AI17" i="21"/>
  <c r="AJ17" i="21" s="1"/>
  <c r="AI49" i="21"/>
  <c r="AJ49" i="21" s="1"/>
  <c r="AI22" i="21"/>
  <c r="AJ22" i="21" s="1"/>
  <c r="AI27" i="9"/>
  <c r="AJ27" i="9" s="1"/>
  <c r="AI22" i="9"/>
  <c r="AJ22" i="9" s="1"/>
  <c r="AI33" i="9"/>
  <c r="AJ33" i="9" s="1"/>
  <c r="AH20" i="26"/>
  <c r="AH34" i="26"/>
  <c r="AH37" i="26"/>
  <c r="AH42" i="28"/>
  <c r="AH18" i="28"/>
  <c r="AH20" i="28"/>
  <c r="AI21" i="22"/>
  <c r="AJ21" i="22" s="1"/>
  <c r="AI42" i="22"/>
  <c r="AJ42" i="22" s="1"/>
  <c r="AI52" i="22"/>
  <c r="AJ52" i="22" s="1"/>
  <c r="AH33" i="29"/>
  <c r="AH37" i="29"/>
  <c r="AH50" i="29"/>
  <c r="AH35" i="25"/>
  <c r="AH25" i="25"/>
  <c r="AH36" i="25"/>
  <c r="AI19" i="19"/>
  <c r="AJ19" i="19" s="1"/>
  <c r="AI33" i="19"/>
  <c r="AJ33" i="19" s="1"/>
  <c r="AI25" i="19"/>
  <c r="AJ25" i="19" s="1"/>
  <c r="AI39" i="23"/>
  <c r="AJ39" i="23" s="1"/>
  <c r="AI21" i="23"/>
  <c r="AJ21" i="23" s="1"/>
  <c r="AI54" i="23"/>
  <c r="AJ54" i="23" s="1"/>
  <c r="AH50" i="27"/>
  <c r="AI21" i="20"/>
  <c r="AJ21" i="20" s="1"/>
  <c r="AI26" i="20"/>
  <c r="AJ26" i="20" s="1"/>
  <c r="AI31" i="21"/>
  <c r="AJ31" i="21" s="1"/>
  <c r="AI50" i="21"/>
  <c r="AJ50" i="21" s="1"/>
  <c r="AI45" i="21"/>
  <c r="AJ45" i="21" s="1"/>
  <c r="AI18" i="21"/>
  <c r="AJ18" i="21" s="1"/>
  <c r="AI35" i="9"/>
  <c r="AJ35" i="9" s="1"/>
  <c r="AI36" i="9"/>
  <c r="AJ36" i="9" s="1"/>
  <c r="AH31" i="26"/>
  <c r="AH24" i="26"/>
  <c r="AH21" i="26"/>
  <c r="AH48" i="28"/>
  <c r="AH37" i="28"/>
  <c r="AH32" i="28"/>
  <c r="AI17" i="22"/>
  <c r="AJ17" i="22" s="1"/>
  <c r="AI33" i="22"/>
  <c r="AJ33" i="22" s="1"/>
  <c r="AI54" i="22"/>
  <c r="AJ54" i="22" s="1"/>
  <c r="AI24" i="22"/>
  <c r="AJ24" i="22" s="1"/>
  <c r="AH43" i="29"/>
  <c r="AH19" i="29"/>
  <c r="AH18" i="25"/>
  <c r="AH21" i="25"/>
  <c r="AH23" i="25"/>
  <c r="AH42" i="25"/>
  <c r="AI29" i="19"/>
  <c r="AJ29" i="19" s="1"/>
  <c r="AI54" i="19"/>
  <c r="AJ54" i="19" s="1"/>
  <c r="AI53" i="19"/>
  <c r="AJ53" i="19" s="1"/>
  <c r="AI33" i="23"/>
  <c r="AJ33" i="23" s="1"/>
  <c r="AI28" i="23"/>
  <c r="AJ28" i="23" s="1"/>
  <c r="AI22" i="23"/>
  <c r="AJ22" i="23" s="1"/>
  <c r="AH35" i="24"/>
  <c r="AH42" i="24"/>
  <c r="AH22" i="24"/>
  <c r="AH52" i="24"/>
  <c r="AH29" i="27"/>
  <c r="AH35" i="27"/>
  <c r="AH51" i="27"/>
  <c r="AI26" i="21"/>
  <c r="AJ26" i="21" s="1"/>
  <c r="AH49" i="27"/>
  <c r="AI32" i="21"/>
  <c r="AJ32" i="21" s="1"/>
  <c r="AI53" i="22"/>
  <c r="AJ53" i="22" s="1"/>
  <c r="AH16" i="29"/>
  <c r="AH36" i="29"/>
  <c r="AI35" i="23"/>
  <c r="AJ35" i="23" s="1"/>
  <c r="AH32" i="24"/>
  <c r="AH24" i="27"/>
  <c r="AI52" i="9"/>
  <c r="AJ52" i="9" s="1"/>
  <c r="AI38" i="22"/>
  <c r="AJ38" i="22" s="1"/>
  <c r="AI53" i="23"/>
  <c r="AJ53" i="23" s="1"/>
  <c r="AI38" i="21"/>
  <c r="AJ38" i="21" s="1"/>
  <c r="AI29" i="20"/>
  <c r="AJ29" i="20" s="1"/>
  <c r="AI16" i="21"/>
  <c r="AJ16" i="21" s="1"/>
  <c r="AI41" i="9"/>
  <c r="AJ41" i="9" s="1"/>
  <c r="AH45" i="26"/>
  <c r="AH26" i="28"/>
  <c r="AI43" i="22"/>
  <c r="AJ43" i="22" s="1"/>
  <c r="AH39" i="25"/>
  <c r="AI32" i="20"/>
  <c r="AJ32" i="20" s="1"/>
  <c r="AI49" i="20"/>
  <c r="AJ49" i="20" s="1"/>
  <c r="AI27" i="20"/>
  <c r="AJ27" i="20" s="1"/>
  <c r="AI50" i="20"/>
  <c r="AJ50" i="20" s="1"/>
  <c r="AI30" i="20"/>
  <c r="AJ30" i="20" s="1"/>
  <c r="AI24" i="20"/>
  <c r="AJ24" i="20" s="1"/>
  <c r="AI36" i="20"/>
  <c r="AJ36" i="20" s="1"/>
  <c r="AI48" i="20"/>
  <c r="AJ48" i="20" s="1"/>
  <c r="AI15" i="21"/>
  <c r="AJ15" i="21" s="1"/>
  <c r="AI44" i="21"/>
  <c r="AJ44" i="21" s="1"/>
  <c r="AI28" i="21"/>
  <c r="AJ28" i="21" s="1"/>
  <c r="AI35" i="21"/>
  <c r="AJ35" i="21" s="1"/>
  <c r="AI32" i="9"/>
  <c r="AJ32" i="9" s="1"/>
  <c r="AI49" i="9"/>
  <c r="AJ49" i="9" s="1"/>
  <c r="AI44" i="9"/>
  <c r="AJ44" i="9" s="1"/>
  <c r="AH39" i="26"/>
  <c r="AH22" i="26"/>
  <c r="AH40" i="26"/>
  <c r="AH35" i="26"/>
  <c r="AH22" i="28"/>
  <c r="AH53" i="28"/>
  <c r="AI34" i="22"/>
  <c r="AJ34" i="22" s="1"/>
  <c r="AI16" i="22"/>
  <c r="AJ16" i="22" s="1"/>
  <c r="AI49" i="22"/>
  <c r="AJ49" i="22" s="1"/>
  <c r="AI41" i="22"/>
  <c r="AJ41" i="22" s="1"/>
  <c r="AH30" i="29"/>
  <c r="AH52" i="29"/>
  <c r="AH51" i="29"/>
  <c r="AH53" i="25"/>
  <c r="AH17" i="25"/>
  <c r="AH38" i="25"/>
  <c r="AI32" i="19"/>
  <c r="AJ32" i="19" s="1"/>
  <c r="AI28" i="19"/>
  <c r="AJ28" i="19" s="1"/>
  <c r="AI26" i="19"/>
  <c r="AJ26" i="19" s="1"/>
  <c r="AI16" i="23"/>
  <c r="AJ16" i="23" s="1"/>
  <c r="AI38" i="23"/>
  <c r="AJ38" i="23" s="1"/>
  <c r="AI20" i="23"/>
  <c r="AJ20" i="23" s="1"/>
  <c r="AH38" i="24"/>
  <c r="AH15" i="24"/>
  <c r="AH44" i="24"/>
  <c r="AH39" i="24"/>
  <c r="AH25" i="27"/>
  <c r="AH45" i="27"/>
  <c r="AH48" i="27"/>
  <c r="AI37" i="22"/>
  <c r="AJ37" i="22" s="1"/>
  <c r="AI39" i="19"/>
  <c r="AJ39" i="19" s="1"/>
  <c r="AI53" i="21"/>
  <c r="AJ53" i="21" s="1"/>
  <c r="AH28" i="26"/>
  <c r="AI29" i="23"/>
  <c r="AJ29" i="23" s="1"/>
  <c r="AH53" i="27"/>
  <c r="AI31" i="9"/>
  <c r="AJ31" i="9" s="1"/>
  <c r="AH51" i="26"/>
  <c r="AH47" i="26"/>
  <c r="AH25" i="28"/>
  <c r="AH47" i="29"/>
  <c r="AI30" i="23"/>
  <c r="AJ30" i="23" s="1"/>
  <c r="AI46" i="20"/>
  <c r="AJ46" i="20" s="1"/>
  <c r="AI52" i="20"/>
  <c r="AJ52" i="20" s="1"/>
  <c r="AI40" i="20"/>
  <c r="AJ40" i="20" s="1"/>
  <c r="AI24" i="21"/>
  <c r="AJ24" i="21" s="1"/>
  <c r="AI51" i="21"/>
  <c r="AJ51" i="21" s="1"/>
  <c r="AI33" i="21"/>
  <c r="AJ33" i="21" s="1"/>
  <c r="AI26" i="9"/>
  <c r="AJ26" i="9" s="1"/>
  <c r="AI50" i="9"/>
  <c r="AJ50" i="9" s="1"/>
  <c r="AI19" i="9"/>
  <c r="AJ19" i="9" s="1"/>
  <c r="AI53" i="9"/>
  <c r="AJ53" i="9" s="1"/>
  <c r="AH16" i="26"/>
  <c r="AH42" i="26"/>
  <c r="AH32" i="26"/>
  <c r="AH15" i="28"/>
  <c r="AH16" i="28"/>
  <c r="AH33" i="28"/>
  <c r="AH51" i="28"/>
  <c r="AI19" i="22"/>
  <c r="AJ19" i="22" s="1"/>
  <c r="AI15" i="22"/>
  <c r="AJ15" i="22" s="1"/>
  <c r="AI39" i="22"/>
  <c r="AJ39" i="22" s="1"/>
  <c r="AH40" i="29"/>
  <c r="AH31" i="29"/>
  <c r="AH34" i="29"/>
  <c r="AH49" i="25"/>
  <c r="AH15" i="25"/>
  <c r="AH51" i="25"/>
  <c r="AI23" i="19"/>
  <c r="AJ23" i="19" s="1"/>
  <c r="AI41" i="19"/>
  <c r="AJ41" i="19" s="1"/>
  <c r="AI21" i="19"/>
  <c r="AJ21" i="19" s="1"/>
  <c r="AI24" i="19"/>
  <c r="AJ24" i="19" s="1"/>
  <c r="AI19" i="23"/>
  <c r="AJ19" i="23" s="1"/>
  <c r="AI43" i="23"/>
  <c r="AJ43" i="23" s="1"/>
  <c r="AI46" i="23"/>
  <c r="AJ46" i="23" s="1"/>
  <c r="AH36" i="24"/>
  <c r="AH48" i="24"/>
  <c r="AH30" i="24"/>
  <c r="AH46" i="24"/>
  <c r="AH27" i="27"/>
  <c r="AH47" i="27"/>
  <c r="AH40" i="27"/>
  <c r="AI53" i="20"/>
  <c r="AJ53" i="20" s="1"/>
  <c r="AI37" i="9"/>
  <c r="AJ37" i="9" s="1"/>
  <c r="AH49" i="26"/>
  <c r="AH17" i="26"/>
  <c r="AH50" i="28"/>
  <c r="AH22" i="29"/>
  <c r="AH27" i="25"/>
  <c r="AI43" i="20"/>
  <c r="AJ43" i="20" s="1"/>
  <c r="AI39" i="9"/>
  <c r="AJ39" i="9" s="1"/>
  <c r="AI40" i="22"/>
  <c r="AJ40" i="22" s="1"/>
  <c r="AI38" i="19"/>
  <c r="AJ38" i="19" s="1"/>
  <c r="AH22" i="27"/>
  <c r="AI37" i="20"/>
  <c r="AJ37" i="20" s="1"/>
  <c r="AH15" i="26"/>
  <c r="AH46" i="29"/>
  <c r="AH17" i="24"/>
  <c r="AH44" i="27"/>
  <c r="AH36" i="27"/>
  <c r="AI54" i="21"/>
  <c r="AJ54" i="21" s="1"/>
  <c r="AH29" i="29"/>
  <c r="AI46" i="19"/>
  <c r="AJ46" i="19" s="1"/>
  <c r="AH17" i="29"/>
  <c r="AI31" i="19"/>
  <c r="AJ31" i="19" s="1"/>
  <c r="AI40" i="21"/>
  <c r="AJ40" i="21" s="1"/>
  <c r="AH23" i="28"/>
  <c r="AI32" i="22"/>
  <c r="AJ32" i="22" s="1"/>
  <c r="AH44" i="29"/>
  <c r="AH26" i="25"/>
  <c r="AI35" i="19"/>
  <c r="AJ35" i="19" s="1"/>
  <c r="AI49" i="19"/>
  <c r="AJ49" i="19" s="1"/>
  <c r="AI20" i="19"/>
  <c r="AJ20" i="19" s="1"/>
  <c r="AI34" i="23"/>
  <c r="AJ34" i="23" s="1"/>
  <c r="AH21" i="24"/>
  <c r="AH31" i="24"/>
  <c r="AH19" i="24"/>
  <c r="AH31" i="27"/>
  <c r="AI31" i="20"/>
  <c r="AJ31" i="20" s="1"/>
  <c r="AI54" i="20"/>
  <c r="AJ54" i="20" s="1"/>
  <c r="AI47" i="20"/>
  <c r="AJ47" i="20" s="1"/>
  <c r="AI44" i="20"/>
  <c r="AJ44" i="20" s="1"/>
  <c r="AI20" i="21"/>
  <c r="AJ20" i="21" s="1"/>
  <c r="AI48" i="21"/>
  <c r="AJ48" i="21" s="1"/>
  <c r="AI43" i="21"/>
  <c r="AJ43" i="21" s="1"/>
  <c r="AI45" i="9"/>
  <c r="AJ45" i="9" s="1"/>
  <c r="AI20" i="9"/>
  <c r="AJ20" i="9" s="1"/>
  <c r="AI42" i="9"/>
  <c r="AJ42" i="9" s="1"/>
  <c r="AI29" i="9"/>
  <c r="AJ29" i="9" s="1"/>
  <c r="AH43" i="26"/>
  <c r="AH38" i="26"/>
  <c r="AH54" i="26"/>
  <c r="AH36" i="28"/>
  <c r="AH52" i="28"/>
  <c r="AH19" i="28"/>
  <c r="AH29" i="28"/>
  <c r="AI45" i="22"/>
  <c r="AJ45" i="22" s="1"/>
  <c r="AI18" i="22"/>
  <c r="AJ18" i="22" s="1"/>
  <c r="AI50" i="22"/>
  <c r="AJ50" i="22" s="1"/>
  <c r="AH48" i="29"/>
  <c r="AH21" i="29"/>
  <c r="AH20" i="29"/>
  <c r="AH41" i="29"/>
  <c r="AH45" i="25"/>
  <c r="AH41" i="25"/>
  <c r="AH47" i="25"/>
  <c r="AI45" i="19"/>
  <c r="AJ45" i="19" s="1"/>
  <c r="AI50" i="19"/>
  <c r="AJ50" i="19" s="1"/>
  <c r="AI16" i="19"/>
  <c r="AJ16" i="19" s="1"/>
  <c r="AI18" i="19"/>
  <c r="AJ18" i="19" s="1"/>
  <c r="AI45" i="23"/>
  <c r="AJ45" i="23" s="1"/>
  <c r="AI50" i="23"/>
  <c r="AJ50" i="23" s="1"/>
  <c r="AH33" i="24"/>
  <c r="AH28" i="24"/>
  <c r="AH23" i="24"/>
  <c r="AH18" i="27"/>
  <c r="AH16" i="27"/>
  <c r="AH30" i="27"/>
  <c r="AH46" i="27"/>
  <c r="AI18" i="20"/>
  <c r="AJ18" i="20" s="1"/>
  <c r="AI25" i="9"/>
  <c r="AJ25" i="9" s="1"/>
  <c r="AI28" i="22"/>
  <c r="AJ28" i="22" s="1"/>
  <c r="AI34" i="19"/>
  <c r="AJ34" i="19" s="1"/>
  <c r="AI27" i="23"/>
  <c r="AJ27" i="23" s="1"/>
  <c r="AI43" i="9"/>
  <c r="AJ43" i="9" s="1"/>
  <c r="AH29" i="25"/>
  <c r="AI27" i="21"/>
  <c r="AJ27" i="21" s="1"/>
  <c r="AI17" i="9"/>
  <c r="AJ17" i="9" s="1"/>
  <c r="AI46" i="9"/>
  <c r="AJ46" i="9" s="1"/>
  <c r="AI54" i="9"/>
  <c r="AJ54" i="9" s="1"/>
  <c r="AI38" i="9"/>
  <c r="AJ38" i="9" s="1"/>
  <c r="AH23" i="26"/>
  <c r="AH25" i="26"/>
  <c r="AH44" i="26"/>
  <c r="AH27" i="28"/>
  <c r="AH30" i="28"/>
  <c r="AH49" i="28"/>
  <c r="AH41" i="28"/>
  <c r="AI25" i="22"/>
  <c r="AJ25" i="22" s="1"/>
  <c r="AI20" i="22"/>
  <c r="AJ20" i="22" s="1"/>
  <c r="AI46" i="22"/>
  <c r="AJ46" i="22" s="1"/>
  <c r="AH15" i="29"/>
  <c r="AH54" i="29"/>
  <c r="AH27" i="29"/>
  <c r="AH39" i="29"/>
  <c r="AH20" i="25"/>
  <c r="AH40" i="25"/>
  <c r="AH34" i="25"/>
  <c r="AI30" i="19"/>
  <c r="AJ30" i="19" s="1"/>
  <c r="AI36" i="19"/>
  <c r="AJ36" i="19" s="1"/>
  <c r="AI44" i="19"/>
  <c r="AJ44" i="19" s="1"/>
  <c r="AI52" i="23"/>
  <c r="AJ52" i="23" s="1"/>
  <c r="AI32" i="23"/>
  <c r="AJ32" i="23" s="1"/>
  <c r="AI48" i="23"/>
  <c r="AJ48" i="23" s="1"/>
  <c r="AI24" i="23"/>
  <c r="AJ24" i="23" s="1"/>
  <c r="AH54" i="24"/>
  <c r="AH29" i="24"/>
  <c r="AH47" i="24"/>
  <c r="AH52" i="27"/>
  <c r="AH19" i="27"/>
  <c r="AH39" i="27"/>
  <c r="AH37" i="27"/>
  <c r="AI37" i="21"/>
  <c r="AJ37" i="21" s="1"/>
  <c r="AI40" i="9"/>
  <c r="AJ40" i="9" s="1"/>
  <c r="AH24" i="28"/>
  <c r="AH32" i="25"/>
  <c r="AH45" i="24"/>
  <c r="AI41" i="20"/>
  <c r="AJ41" i="20" s="1"/>
  <c r="AH28" i="28"/>
  <c r="AH53" i="24"/>
  <c r="AI15" i="20"/>
  <c r="AJ15" i="20" s="1"/>
  <c r="AI41" i="21"/>
  <c r="AJ41" i="21" s="1"/>
  <c r="AI24" i="9"/>
  <c r="AJ24" i="9" s="1"/>
  <c r="AH35" i="28"/>
  <c r="AH28" i="29"/>
  <c r="AI36" i="23"/>
  <c r="AJ36" i="23" s="1"/>
  <c r="AI22" i="20"/>
  <c r="AJ22" i="20" s="1"/>
  <c r="AI35" i="20"/>
  <c r="AJ35" i="20" s="1"/>
  <c r="AI19" i="20"/>
  <c r="AJ19" i="20" s="1"/>
  <c r="AI34" i="20"/>
  <c r="AJ34" i="20" s="1"/>
  <c r="AI28" i="9"/>
  <c r="AJ28" i="9" s="1"/>
  <c r="AH47" i="28"/>
  <c r="AI26" i="22"/>
  <c r="AJ26" i="22" s="1"/>
  <c r="AI17" i="23"/>
  <c r="AJ17" i="23" s="1"/>
  <c r="AH16" i="24"/>
  <c r="AI21" i="21"/>
  <c r="AJ21" i="21" s="1"/>
  <c r="AH45" i="28"/>
  <c r="AI17" i="20"/>
  <c r="AJ17" i="20" s="1"/>
  <c r="AI23" i="9"/>
  <c r="AJ23" i="9" s="1"/>
  <c r="AH36" i="26"/>
  <c r="AH17" i="28"/>
  <c r="AH37" i="25"/>
  <c r="AI23" i="20"/>
  <c r="AJ23" i="20" s="1"/>
  <c r="AI52" i="21"/>
  <c r="AJ52" i="21" s="1"/>
  <c r="AH33" i="26"/>
  <c r="AH23" i="29"/>
  <c r="AH44" i="25"/>
  <c r="AH48" i="25"/>
  <c r="AI40" i="19"/>
  <c r="AJ40" i="19" s="1"/>
  <c r="AI51" i="19"/>
  <c r="AJ51" i="19" s="1"/>
  <c r="AI27" i="19"/>
  <c r="AJ27" i="19" s="1"/>
  <c r="AI44" i="23"/>
  <c r="AJ44" i="23" s="1"/>
  <c r="AI40" i="23"/>
  <c r="AJ40" i="23" s="1"/>
  <c r="AI37" i="23"/>
  <c r="AJ37" i="23" s="1"/>
  <c r="AH37" i="24"/>
  <c r="AH18" i="24"/>
  <c r="AH43" i="24"/>
  <c r="AH43" i="27"/>
  <c r="AH17" i="27"/>
  <c r="AH42" i="27"/>
  <c r="AH26" i="27"/>
  <c r="AI16" i="20"/>
  <c r="AJ16" i="20" s="1"/>
  <c r="AI20" i="20"/>
  <c r="AJ20" i="20" s="1"/>
  <c r="AI38" i="20"/>
  <c r="AJ38" i="20" s="1"/>
  <c r="AI42" i="20"/>
  <c r="AJ42" i="20" s="1"/>
  <c r="AI29" i="21"/>
  <c r="AJ29" i="21" s="1"/>
  <c r="AI42" i="21"/>
  <c r="AJ42" i="21" s="1"/>
  <c r="AI46" i="21"/>
  <c r="AJ46" i="21" s="1"/>
  <c r="AI30" i="9"/>
  <c r="AJ30" i="9" s="1"/>
  <c r="AI47" i="9"/>
  <c r="AJ47" i="9" s="1"/>
  <c r="AI16" i="9"/>
  <c r="AJ16" i="9" s="1"/>
  <c r="AH29" i="26"/>
  <c r="AH48" i="26"/>
  <c r="AH26" i="26"/>
  <c r="AH52" i="26"/>
  <c r="AH34" i="28"/>
  <c r="AH54" i="28"/>
  <c r="AI27" i="22"/>
  <c r="AJ27" i="22" s="1"/>
  <c r="AI29" i="22"/>
  <c r="AJ29" i="22" s="1"/>
  <c r="AI48" i="22"/>
  <c r="AJ48" i="22" s="1"/>
  <c r="AI36" i="22"/>
  <c r="AJ36" i="22" s="1"/>
  <c r="AH49" i="29"/>
  <c r="AH45" i="29"/>
  <c r="AH25" i="29"/>
  <c r="AH50" i="25"/>
  <c r="AH31" i="25"/>
  <c r="AH30" i="25"/>
  <c r="AH43" i="25"/>
  <c r="AI47" i="19"/>
  <c r="AJ47" i="19" s="1"/>
  <c r="AI22" i="19"/>
  <c r="AJ22" i="19" s="1"/>
  <c r="AI37" i="19"/>
  <c r="AJ37" i="19" s="1"/>
  <c r="AI26" i="23"/>
  <c r="AJ26" i="23" s="1"/>
  <c r="AI18" i="23"/>
  <c r="AJ18" i="23" s="1"/>
  <c r="AI42" i="23"/>
  <c r="AJ42" i="23" s="1"/>
  <c r="AI47" i="23"/>
  <c r="AJ47" i="23" s="1"/>
  <c r="AH40" i="24"/>
  <c r="AH24" i="24"/>
  <c r="AH20" i="24"/>
  <c r="AH32" i="27"/>
  <c r="AH20" i="27"/>
  <c r="AH41" i="27"/>
  <c r="AH54" i="27"/>
  <c r="AI45" i="20"/>
  <c r="AJ45" i="20" s="1"/>
  <c r="AH38" i="27"/>
  <c r="AI39" i="20"/>
  <c r="AJ39" i="20" s="1"/>
  <c r="AI19" i="21"/>
  <c r="AJ19" i="21" s="1"/>
  <c r="AH19" i="25"/>
  <c r="AI42" i="19"/>
  <c r="AJ42" i="19" s="1"/>
  <c r="AH49" i="24"/>
  <c r="AI15" i="9"/>
  <c r="AJ15" i="9" s="1"/>
  <c r="AH18" i="26"/>
  <c r="AH21" i="28"/>
  <c r="AH42" i="29"/>
  <c r="AH46" i="25"/>
  <c r="AI51" i="20"/>
  <c r="AJ51" i="20" s="1"/>
  <c r="AI39" i="21"/>
  <c r="AJ39" i="21" s="1"/>
  <c r="AI47" i="21"/>
  <c r="AJ47" i="21" s="1"/>
  <c r="AI36" i="21"/>
  <c r="AJ36" i="21" s="1"/>
  <c r="AI18" i="9"/>
  <c r="AJ18" i="9" s="1"/>
  <c r="AI51" i="9"/>
  <c r="AJ51" i="9" s="1"/>
  <c r="AI48" i="9"/>
  <c r="AJ48" i="9" s="1"/>
  <c r="AH30" i="26"/>
  <c r="AH53" i="26"/>
  <c r="AH19" i="26"/>
  <c r="AH41" i="26"/>
  <c r="AH43" i="28"/>
  <c r="AH40" i="28"/>
  <c r="AH38" i="28"/>
  <c r="AI35" i="22"/>
  <c r="AJ35" i="22" s="1"/>
  <c r="AI44" i="22"/>
  <c r="AJ44" i="22" s="1"/>
  <c r="AI47" i="22"/>
  <c r="AJ47" i="22" s="1"/>
  <c r="AI51" i="22"/>
  <c r="AJ51" i="22" s="1"/>
  <c r="AH53" i="29"/>
  <c r="AH24" i="29"/>
  <c r="AH32" i="29"/>
  <c r="AH54" i="25"/>
  <c r="AH16" i="25"/>
  <c r="AH24" i="25"/>
  <c r="AI43" i="19"/>
  <c r="AJ43" i="19" s="1"/>
  <c r="AI48" i="19"/>
  <c r="AJ48" i="19" s="1"/>
  <c r="AI51" i="23"/>
  <c r="AJ51" i="23" s="1"/>
  <c r="AI41" i="23"/>
  <c r="AJ41" i="23" s="1"/>
  <c r="AI23" i="23"/>
  <c r="AJ23" i="23" s="1"/>
  <c r="AI15" i="23"/>
  <c r="AJ15" i="23" s="1"/>
  <c r="AH25" i="24"/>
  <c r="AH27" i="24"/>
  <c r="AH51" i="24"/>
  <c r="AH15" i="27"/>
  <c r="AH23" i="27"/>
  <c r="AH34" i="27"/>
  <c r="AH27" i="26"/>
  <c r="AH39" i="28"/>
  <c r="AH35" i="29"/>
  <c r="AH28" i="25"/>
  <c r="AI17" i="19"/>
  <c r="AJ17" i="19" s="1"/>
  <c r="AI52" i="19"/>
  <c r="AJ52" i="19" s="1"/>
  <c r="AH26" i="24"/>
  <c r="AI23" i="22"/>
  <c r="AJ23" i="22" s="1"/>
  <c r="AI49" i="23"/>
  <c r="AJ49" i="23" s="1"/>
  <c r="AH21" i="27"/>
  <c r="AI21" i="9"/>
  <c r="AJ21" i="9" s="1"/>
  <c r="AH44" i="28"/>
  <c r="AI31" i="22"/>
  <c r="AJ31" i="22" s="1"/>
  <c r="AH18" i="29"/>
  <c r="AI15" i="19"/>
  <c r="AJ15" i="19" s="1"/>
  <c r="AI25" i="20"/>
  <c r="AJ25" i="20" s="1"/>
  <c r="AI34" i="9"/>
  <c r="AJ34" i="9" s="1"/>
  <c r="AH46" i="26"/>
  <c r="AI30" i="22"/>
  <c r="AJ30" i="22" s="1"/>
  <c r="AH33" i="25"/>
  <c r="AI25" i="23"/>
  <c r="AJ25" i="23" s="1"/>
  <c r="AH41" i="24"/>
  <c r="AH50" i="24"/>
  <c r="AH28" i="27"/>
  <c r="AH33" i="27"/>
  <c r="AI12" i="26"/>
  <c r="AI12" i="28"/>
  <c r="AI12" i="25"/>
  <c r="AI12" i="29"/>
  <c r="AI12" i="27"/>
  <c r="AI12" i="24"/>
  <c r="AI44" i="26" a="1"/>
  <c r="AI30" i="26" a="1"/>
  <c r="AI22" i="26" a="1"/>
  <c r="AI47" i="26" a="1"/>
  <c r="AI40" i="28" a="1"/>
  <c r="AI29" i="28" a="1"/>
  <c r="AI27" i="28" a="1"/>
  <c r="AI29" i="25" a="1"/>
  <c r="AI28" i="25" a="1"/>
  <c r="AI30" i="25" a="1"/>
  <c r="AI43" i="25" a="1"/>
  <c r="AI52" i="29" a="1"/>
  <c r="AI49" i="29" a="1"/>
  <c r="AI51" i="29" a="1"/>
  <c r="AI51" i="27" a="1"/>
  <c r="AI31" i="27" a="1"/>
  <c r="AI50" i="27" a="1"/>
  <c r="AI35" i="27" a="1"/>
  <c r="AI37" i="24" a="1"/>
  <c r="AI17" i="24" a="1"/>
  <c r="AI36" i="24" a="1"/>
  <c r="AI22" i="29" a="1"/>
  <c r="AI15" i="24" a="1"/>
  <c r="AI16" i="24" a="1"/>
  <c r="AI19" i="26" a="1"/>
  <c r="AI38" i="28" a="1"/>
  <c r="AI51" i="25" a="1"/>
  <c r="AI26" i="25" a="1"/>
  <c r="AI35" i="29" a="1"/>
  <c r="AI40" i="29" a="1"/>
  <c r="AI54" i="29" a="1"/>
  <c r="AI16" i="27" a="1"/>
  <c r="AI38" i="24" a="1"/>
  <c r="AI31" i="24" a="1"/>
  <c r="AI28" i="28" a="1"/>
  <c r="AI48" i="26" a="1"/>
  <c r="AI32" i="26" a="1"/>
  <c r="AI43" i="26" a="1"/>
  <c r="AI15" i="26" a="1"/>
  <c r="AI25" i="28" a="1"/>
  <c r="AI41" i="28" a="1"/>
  <c r="AI23" i="28" a="1"/>
  <c r="AI44" i="25" a="1"/>
  <c r="AI40" i="25" a="1"/>
  <c r="AI54" i="25" a="1"/>
  <c r="AI38" i="25" a="1"/>
  <c r="AI15" i="29" a="1"/>
  <c r="AI47" i="29" a="1"/>
  <c r="AI21" i="29" a="1"/>
  <c r="AI23" i="27" a="1"/>
  <c r="AI54" i="27" a="1"/>
  <c r="AI24" i="27" a="1"/>
  <c r="AI41" i="24" a="1"/>
  <c r="AI32" i="24" a="1"/>
  <c r="AI23" i="24" a="1"/>
  <c r="AI43" i="24" a="1"/>
  <c r="AI34" i="26" a="1"/>
  <c r="AI17" i="26" a="1"/>
  <c r="AI46" i="26" a="1"/>
  <c r="AI30" i="28" a="1"/>
  <c r="AI33" i="28" a="1"/>
  <c r="AI42" i="28" a="1"/>
  <c r="AI37" i="25" a="1"/>
  <c r="AI23" i="25" a="1"/>
  <c r="AI31" i="25" a="1"/>
  <c r="AI20" i="29" a="1"/>
  <c r="AI54" i="24" a="1"/>
  <c r="AI27" i="27" a="1"/>
  <c r="AI18" i="24" a="1"/>
  <c r="AI46" i="24" a="1"/>
  <c r="AI37" i="28" a="1"/>
  <c r="AI21" i="26" a="1"/>
  <c r="AI34" i="28" a="1"/>
  <c r="AI18" i="29" a="1"/>
  <c r="AI27" i="24" a="1"/>
  <c r="AI17" i="25" a="1"/>
  <c r="AI37" i="29" a="1"/>
  <c r="AI20" i="24" a="1"/>
  <c r="AI39" i="26" a="1"/>
  <c r="AI25" i="25" a="1"/>
  <c r="AI26" i="29" a="1"/>
  <c r="AI24" i="29" a="1"/>
  <c r="AI34" i="27" a="1"/>
  <c r="AI42" i="27" a="1"/>
  <c r="AI36" i="27" a="1"/>
  <c r="AI19" i="24" a="1"/>
  <c r="AI34" i="24" a="1"/>
  <c r="AI35" i="24" a="1"/>
  <c r="AI17" i="27" a="1"/>
  <c r="AI42" i="24" a="1"/>
  <c r="AI53" i="26" a="1"/>
  <c r="AI52" i="26" a="1"/>
  <c r="AI35" i="26" a="1"/>
  <c r="AI47" i="28" a="1"/>
  <c r="AI32" i="28" a="1"/>
  <c r="AI22" i="25" a="1"/>
  <c r="AI27" i="25" a="1"/>
  <c r="AI38" i="29" a="1"/>
  <c r="AI39" i="29" a="1"/>
  <c r="AI34" i="29" a="1"/>
  <c r="AI43" i="27" a="1"/>
  <c r="AI53" i="27" a="1"/>
  <c r="AI26" i="24" a="1"/>
  <c r="AI18" i="26" a="1"/>
  <c r="AI18" i="28" a="1"/>
  <c r="AI41" i="27" a="1"/>
  <c r="AI33" i="26" a="1"/>
  <c r="AI25" i="26" a="1"/>
  <c r="AI31" i="26" a="1"/>
  <c r="AI27" i="26" a="1"/>
  <c r="AI51" i="28" a="1"/>
  <c r="AI54" i="28" a="1"/>
  <c r="AI21" i="28" a="1"/>
  <c r="AI16" i="25" a="1"/>
  <c r="AI24" i="25" a="1"/>
  <c r="AI33" i="25" a="1"/>
  <c r="AI50" i="29" a="1"/>
  <c r="AI45" i="29" a="1"/>
  <c r="AI44" i="29" a="1"/>
  <c r="AI47" i="27" a="1"/>
  <c r="AI37" i="26" a="1"/>
  <c r="AI19" i="25" a="1"/>
  <c r="AI48" i="27" a="1"/>
  <c r="AI33" i="24" a="1"/>
  <c r="AI46" i="28" a="1"/>
  <c r="AI48" i="25" a="1"/>
  <c r="AI29" i="26" a="1"/>
  <c r="AI29" i="29" a="1"/>
  <c r="AI32" i="27" a="1"/>
  <c r="AI21" i="25" a="1"/>
  <c r="AI46" i="27" a="1"/>
  <c r="AI53" i="24" a="1"/>
  <c r="AI26" i="26" a="1"/>
  <c r="AI51" i="26" a="1"/>
  <c r="AI24" i="26" a="1"/>
  <c r="AI49" i="28" a="1"/>
  <c r="AI53" i="28" a="1"/>
  <c r="AI26" i="28" a="1"/>
  <c r="AI20" i="28" a="1"/>
  <c r="AI52" i="25" a="1"/>
  <c r="AI47" i="25" a="1"/>
  <c r="AI42" i="25" a="1"/>
  <c r="AI17" i="29" a="1"/>
  <c r="AI32" i="29" a="1"/>
  <c r="AI31" i="29" a="1"/>
  <c r="AI25" i="29" a="1"/>
  <c r="AI15" i="27" a="1"/>
  <c r="AI45" i="27" a="1"/>
  <c r="AI26" i="27" a="1"/>
  <c r="AI22" i="24" a="1"/>
  <c r="AI50" i="24" a="1"/>
  <c r="AI30" i="24" a="1"/>
  <c r="AI28" i="24" a="1"/>
  <c r="AI16" i="29" a="1"/>
  <c r="AI24" i="24" a="1"/>
  <c r="AI50" i="25" a="1"/>
  <c r="AI25" i="27" a="1"/>
  <c r="AI48" i="24" a="1"/>
  <c r="AI44" i="28" a="1"/>
  <c r="AI45" i="26" a="1"/>
  <c r="AI36" i="26" a="1"/>
  <c r="AI28" i="26" a="1"/>
  <c r="AI22" i="28" a="1"/>
  <c r="AI15" i="28" a="1"/>
  <c r="AI52" i="28" a="1"/>
  <c r="AI49" i="25" a="1"/>
  <c r="AI39" i="25" a="1"/>
  <c r="AI53" i="25" a="1"/>
  <c r="AI30" i="29" a="1"/>
  <c r="AI23" i="29" a="1"/>
  <c r="AI36" i="29" a="1"/>
  <c r="AI48" i="29" a="1"/>
  <c r="AI40" i="27" a="1"/>
  <c r="AI29" i="27" a="1"/>
  <c r="AI18" i="27" a="1"/>
  <c r="AI45" i="24" a="1"/>
  <c r="AI49" i="24" a="1"/>
  <c r="AI44" i="24" a="1"/>
  <c r="AI17" i="28" a="1"/>
  <c r="AI19" i="29" a="1"/>
  <c r="AI52" i="24" a="1"/>
  <c r="AI31" i="28" a="1"/>
  <c r="AI32" i="25" a="1"/>
  <c r="AI42" i="29" a="1"/>
  <c r="AI37" i="27" a="1"/>
  <c r="AI41" i="25" a="1"/>
  <c r="AI43" i="29" a="1"/>
  <c r="AI30" i="27" a="1"/>
  <c r="AI20" i="26" a="1"/>
  <c r="AI16" i="26" a="1"/>
  <c r="AI38" i="26" a="1"/>
  <c r="AI50" i="28" a="1"/>
  <c r="AI35" i="28" a="1"/>
  <c r="AI39" i="28" a="1"/>
  <c r="AI16" i="28" a="1"/>
  <c r="AI36" i="25" a="1"/>
  <c r="AI15" i="25" a="1"/>
  <c r="AI18" i="25" a="1"/>
  <c r="AI41" i="29" a="1"/>
  <c r="AI46" i="29" a="1"/>
  <c r="AI28" i="29" a="1"/>
  <c r="AI33" i="27" a="1"/>
  <c r="AI44" i="27" a="1"/>
  <c r="AI20" i="27" a="1"/>
  <c r="AI39" i="27" a="1"/>
  <c r="AI47" i="24" a="1"/>
  <c r="AI25" i="24" a="1"/>
  <c r="AI29" i="24" a="1"/>
  <c r="AI49" i="26" a="1"/>
  <c r="AI42" i="26" a="1"/>
  <c r="AI24" i="28" a="1"/>
  <c r="AI45" i="28" a="1"/>
  <c r="AI46" i="25" a="1"/>
  <c r="AI45" i="25" a="1"/>
  <c r="AI53" i="29" a="1"/>
  <c r="AI21" i="27" a="1"/>
  <c r="AI19" i="27" a="1"/>
  <c r="AI52" i="27" a="1"/>
  <c r="AI22" i="27" a="1"/>
  <c r="AI51" i="24" a="1"/>
  <c r="AI40" i="24" a="1"/>
  <c r="AI54" i="26" a="1"/>
  <c r="AI36" i="28" a="1"/>
  <c r="AI20" i="25" a="1"/>
  <c r="AI28" i="27" a="1"/>
  <c r="AI21" i="24" a="1"/>
  <c r="AI48" i="28" a="1"/>
  <c r="AI49" i="27" a="1"/>
  <c r="AI41" i="26" a="1"/>
  <c r="AI19" i="28" a="1"/>
  <c r="AI33" i="29" a="1"/>
  <c r="AI34" i="25" a="1"/>
  <c r="AI39" i="24" a="1"/>
  <c r="AI50" i="26" a="1"/>
  <c r="AI23" i="26" a="1"/>
  <c r="AI40" i="26" a="1"/>
  <c r="AI43" i="28" a="1"/>
  <c r="AI35" i="25" a="1"/>
  <c r="AI27" i="29" a="1"/>
  <c r="AI38" i="27" a="1"/>
  <c r="E56" i="1" l="1"/>
  <c r="F36" i="1"/>
  <c r="J20" i="1"/>
  <c r="I56" i="1"/>
  <c r="I39" i="1"/>
  <c r="F30" i="1"/>
  <c r="J46" i="1"/>
  <c r="H49" i="1"/>
  <c r="G41" i="1"/>
  <c r="G24" i="1"/>
  <c r="I52" i="1"/>
  <c r="J22" i="1"/>
  <c r="J55" i="1"/>
  <c r="I47" i="1"/>
  <c r="E44" i="1"/>
  <c r="H39" i="1"/>
  <c r="F51" i="1"/>
  <c r="G20" i="1"/>
  <c r="E24" i="1"/>
  <c r="E53" i="1"/>
  <c r="K53" i="1" s="1"/>
  <c r="J31" i="1"/>
  <c r="G51" i="1"/>
  <c r="G57" i="1"/>
  <c r="H33" i="1"/>
  <c r="E23" i="1"/>
  <c r="H23" i="1"/>
  <c r="I50" i="1"/>
  <c r="F48" i="1"/>
  <c r="J35" i="1"/>
  <c r="K35" i="1" s="1"/>
  <c r="E37" i="1"/>
  <c r="F53" i="1"/>
  <c r="I46" i="1"/>
  <c r="H58" i="1"/>
  <c r="J33" i="1"/>
  <c r="H59" i="1"/>
  <c r="G50" i="1"/>
  <c r="G28" i="1"/>
  <c r="H27" i="1"/>
  <c r="H36" i="1"/>
  <c r="E48" i="1"/>
  <c r="F56" i="1"/>
  <c r="F50" i="1"/>
  <c r="E42" i="1"/>
  <c r="H34" i="1"/>
  <c r="G47" i="1"/>
  <c r="F28" i="1"/>
  <c r="I33" i="1"/>
  <c r="I30" i="1"/>
  <c r="E21" i="1"/>
  <c r="H50" i="1"/>
  <c r="G48" i="1"/>
  <c r="E25" i="1"/>
  <c r="G59" i="1"/>
  <c r="F41" i="1"/>
  <c r="G21" i="1"/>
  <c r="G37" i="1"/>
  <c r="J38" i="1"/>
  <c r="H38" i="1"/>
  <c r="G55" i="1"/>
  <c r="F38" i="1"/>
  <c r="F22" i="1"/>
  <c r="I42" i="1"/>
  <c r="E45" i="1"/>
  <c r="H30" i="1"/>
  <c r="H56" i="1"/>
  <c r="E22" i="1"/>
  <c r="H52" i="1"/>
  <c r="J52" i="1"/>
  <c r="I29" i="1"/>
  <c r="I48" i="1"/>
  <c r="G52" i="1"/>
  <c r="H41" i="1"/>
  <c r="J50" i="1"/>
  <c r="H55" i="1"/>
  <c r="E51" i="1"/>
  <c r="J27" i="1"/>
  <c r="F39" i="1"/>
  <c r="H40" i="1"/>
  <c r="I35" i="1"/>
  <c r="F20" i="1"/>
  <c r="E39" i="1"/>
  <c r="I25" i="1"/>
  <c r="E33" i="1"/>
  <c r="G23" i="1"/>
  <c r="G44" i="1"/>
  <c r="H53" i="1"/>
  <c r="E27" i="1"/>
  <c r="H32" i="1"/>
  <c r="G34" i="1"/>
  <c r="J42" i="1"/>
  <c r="F46" i="1"/>
  <c r="F23" i="1"/>
  <c r="E55" i="1"/>
  <c r="G53" i="1"/>
  <c r="E54" i="1"/>
  <c r="I58" i="1"/>
  <c r="F29" i="1"/>
  <c r="F34" i="1"/>
  <c r="E58" i="1"/>
  <c r="H22" i="1"/>
  <c r="G36" i="1"/>
  <c r="G35" i="1"/>
  <c r="I26" i="1"/>
  <c r="E52" i="1"/>
  <c r="F47" i="1"/>
  <c r="J45" i="1"/>
  <c r="F24" i="1"/>
  <c r="J29" i="1"/>
  <c r="I43" i="1"/>
  <c r="E50" i="1"/>
  <c r="G25" i="1"/>
  <c r="E40" i="1"/>
  <c r="J51" i="1"/>
  <c r="I24" i="1"/>
  <c r="F35" i="1"/>
  <c r="G43" i="1"/>
  <c r="G31" i="1"/>
  <c r="E59" i="1"/>
  <c r="F31" i="1"/>
  <c r="I38" i="1"/>
  <c r="H28" i="1"/>
  <c r="F43" i="1"/>
  <c r="J49" i="1"/>
  <c r="F40" i="1"/>
  <c r="J53" i="1"/>
  <c r="I59" i="1"/>
  <c r="F49" i="1"/>
  <c r="J48" i="1"/>
  <c r="H44" i="1"/>
  <c r="I55" i="1"/>
  <c r="F55" i="1"/>
  <c r="J58" i="1"/>
  <c r="E34" i="1"/>
  <c r="F26" i="1"/>
  <c r="I27" i="1"/>
  <c r="J30" i="1"/>
  <c r="J54" i="1"/>
  <c r="F25" i="1"/>
  <c r="E32" i="1"/>
  <c r="I28" i="1"/>
  <c r="F27" i="1"/>
  <c r="J37" i="1"/>
  <c r="H51" i="1"/>
  <c r="I51" i="1"/>
  <c r="F52" i="1"/>
  <c r="J24" i="1"/>
  <c r="H20" i="1"/>
  <c r="I31" i="1"/>
  <c r="I36" i="1"/>
  <c r="I49" i="1"/>
  <c r="F32" i="1"/>
  <c r="H43" i="1"/>
  <c r="I32" i="1"/>
  <c r="G30" i="1"/>
  <c r="I45" i="1"/>
  <c r="E29" i="1"/>
  <c r="H24" i="1"/>
  <c r="G38" i="1"/>
  <c r="I54" i="1"/>
  <c r="F54" i="1"/>
  <c r="I57" i="1"/>
  <c r="J59" i="1"/>
  <c r="H57" i="1"/>
  <c r="G27" i="1"/>
  <c r="J41" i="1"/>
  <c r="E26" i="1"/>
  <c r="G56" i="1"/>
  <c r="J34" i="1"/>
  <c r="J25" i="1"/>
  <c r="H46" i="1"/>
  <c r="I37" i="1"/>
  <c r="F37" i="1"/>
  <c r="K37" i="1" s="1"/>
  <c r="J26" i="1"/>
  <c r="H47" i="1"/>
  <c r="G54" i="1"/>
  <c r="I22" i="1"/>
  <c r="I53" i="1"/>
  <c r="G42" i="1"/>
  <c r="G26" i="1"/>
  <c r="E41" i="1"/>
  <c r="G45" i="1"/>
  <c r="E46" i="1"/>
  <c r="G29" i="1"/>
  <c r="J43" i="1"/>
  <c r="H54" i="1"/>
  <c r="G40" i="1"/>
  <c r="J44" i="1"/>
  <c r="H26" i="1"/>
  <c r="G22" i="1"/>
  <c r="G39" i="1"/>
  <c r="F21" i="1"/>
  <c r="H25" i="1"/>
  <c r="H37" i="1"/>
  <c r="H35" i="1"/>
  <c r="E49" i="1"/>
  <c r="E47" i="1"/>
  <c r="J28" i="1"/>
  <c r="I23" i="1"/>
  <c r="I21" i="1"/>
  <c r="I34" i="1"/>
  <c r="E36" i="1"/>
  <c r="K36" i="1" s="1"/>
  <c r="E43" i="1"/>
  <c r="E28" i="1"/>
  <c r="F45" i="1"/>
  <c r="G58" i="1"/>
  <c r="J21" i="1"/>
  <c r="H21" i="1"/>
  <c r="G33" i="1"/>
  <c r="H48" i="1"/>
  <c r="J40" i="1"/>
  <c r="I41" i="1"/>
  <c r="E30" i="1"/>
  <c r="F33" i="1"/>
  <c r="G32" i="1"/>
  <c r="F58" i="1"/>
  <c r="I40" i="1"/>
  <c r="E38" i="1"/>
  <c r="J36" i="1"/>
  <c r="I20" i="1"/>
  <c r="J57" i="1"/>
  <c r="K57" i="1" s="1"/>
  <c r="F59" i="1"/>
  <c r="F42" i="1"/>
  <c r="E57" i="1"/>
  <c r="E35" i="1"/>
  <c r="J47" i="1"/>
  <c r="G46" i="1"/>
  <c r="J32" i="1"/>
  <c r="H45" i="1"/>
  <c r="F57" i="1"/>
  <c r="E31" i="1"/>
  <c r="G49" i="1"/>
  <c r="E20" i="1"/>
  <c r="K20" i="1" s="1"/>
  <c r="F44" i="1"/>
  <c r="K44" i="1" s="1"/>
  <c r="H42" i="1"/>
  <c r="J56" i="1"/>
  <c r="J23" i="1"/>
  <c r="H31" i="1"/>
  <c r="I44" i="1"/>
  <c r="H29" i="1"/>
  <c r="J39" i="1"/>
  <c r="AI38" i="27"/>
  <c r="AJ38" i="27" s="1"/>
  <c r="AI27" i="29"/>
  <c r="AJ27" i="29" s="1"/>
  <c r="AI35" i="25"/>
  <c r="AJ35" i="25" s="1"/>
  <c r="AI43" i="28"/>
  <c r="AJ43" i="28" s="1"/>
  <c r="AI40" i="26"/>
  <c r="AJ40" i="26" s="1"/>
  <c r="AI23" i="26"/>
  <c r="AJ23" i="26" s="1"/>
  <c r="AI50" i="26"/>
  <c r="AJ50" i="26" s="1"/>
  <c r="AI39" i="24"/>
  <c r="AJ39" i="24" s="1"/>
  <c r="AI34" i="25"/>
  <c r="AJ34" i="25" s="1"/>
  <c r="AI33" i="29"/>
  <c r="AJ33" i="29" s="1"/>
  <c r="AI19" i="28"/>
  <c r="AJ19" i="28" s="1"/>
  <c r="AI41" i="26"/>
  <c r="AJ41" i="26" s="1"/>
  <c r="AI49" i="27"/>
  <c r="AJ49" i="27" s="1"/>
  <c r="AI48" i="28"/>
  <c r="AJ48" i="28" s="1"/>
  <c r="AI21" i="24"/>
  <c r="AJ21" i="24" s="1"/>
  <c r="AI28" i="27"/>
  <c r="AJ28" i="27" s="1"/>
  <c r="AI20" i="25"/>
  <c r="AJ20" i="25" s="1"/>
  <c r="AI36" i="28"/>
  <c r="AJ36" i="28" s="1"/>
  <c r="AI54" i="26"/>
  <c r="AJ54" i="26" s="1"/>
  <c r="AI40" i="24"/>
  <c r="AJ40" i="24" s="1"/>
  <c r="AI51" i="24"/>
  <c r="AJ51" i="24" s="1"/>
  <c r="AI22" i="27"/>
  <c r="AJ22" i="27" s="1"/>
  <c r="AI52" i="27"/>
  <c r="AJ52" i="27" s="1"/>
  <c r="AI19" i="27"/>
  <c r="AJ19" i="27" s="1"/>
  <c r="AI21" i="27"/>
  <c r="AJ21" i="27" s="1"/>
  <c r="AI53" i="29"/>
  <c r="AJ53" i="29" s="1"/>
  <c r="AI45" i="25"/>
  <c r="AJ45" i="25" s="1"/>
  <c r="AI46" i="25"/>
  <c r="AJ46" i="25" s="1"/>
  <c r="AI45" i="28"/>
  <c r="AJ45" i="28" s="1"/>
  <c r="AI24" i="28"/>
  <c r="AJ24" i="28" s="1"/>
  <c r="AI42" i="26"/>
  <c r="AJ42" i="26" s="1"/>
  <c r="AI49" i="26"/>
  <c r="AJ49" i="26" s="1"/>
  <c r="AI29" i="24"/>
  <c r="AJ29" i="24" s="1"/>
  <c r="AI25" i="24"/>
  <c r="AJ25" i="24" s="1"/>
  <c r="AI47" i="24"/>
  <c r="AJ47" i="24" s="1"/>
  <c r="AI39" i="27"/>
  <c r="AJ39" i="27" s="1"/>
  <c r="AI20" i="27"/>
  <c r="AJ20" i="27" s="1"/>
  <c r="AI44" i="27"/>
  <c r="AJ44" i="27" s="1"/>
  <c r="AI33" i="27"/>
  <c r="AJ33" i="27" s="1"/>
  <c r="AI28" i="29"/>
  <c r="AJ28" i="29" s="1"/>
  <c r="AI46" i="29"/>
  <c r="AJ46" i="29" s="1"/>
  <c r="AI41" i="29"/>
  <c r="AJ41" i="29" s="1"/>
  <c r="AI18" i="25"/>
  <c r="AJ18" i="25" s="1"/>
  <c r="AI15" i="25"/>
  <c r="AJ15" i="25" s="1"/>
  <c r="AI36" i="25"/>
  <c r="AJ36" i="25" s="1"/>
  <c r="AI16" i="28"/>
  <c r="AJ16" i="28" s="1"/>
  <c r="AI39" i="28"/>
  <c r="AJ39" i="28" s="1"/>
  <c r="AI35" i="28"/>
  <c r="AJ35" i="28" s="1"/>
  <c r="AI50" i="28"/>
  <c r="AJ50" i="28" s="1"/>
  <c r="AI38" i="26"/>
  <c r="AJ38" i="26" s="1"/>
  <c r="AI16" i="26"/>
  <c r="AJ16" i="26" s="1"/>
  <c r="AI20" i="26"/>
  <c r="AJ20" i="26" s="1"/>
  <c r="AI30" i="27"/>
  <c r="AJ30" i="27" s="1"/>
  <c r="AI43" i="29"/>
  <c r="AJ43" i="29" s="1"/>
  <c r="AI41" i="25"/>
  <c r="AJ41" i="25" s="1"/>
  <c r="AI37" i="27"/>
  <c r="AJ37" i="27" s="1"/>
  <c r="AI42" i="29"/>
  <c r="AJ42" i="29" s="1"/>
  <c r="AI32" i="25"/>
  <c r="AJ32" i="25" s="1"/>
  <c r="AI31" i="28"/>
  <c r="AJ31" i="28" s="1"/>
  <c r="AI52" i="24"/>
  <c r="AJ52" i="24" s="1"/>
  <c r="AI19" i="29"/>
  <c r="AJ19" i="29" s="1"/>
  <c r="AI17" i="28"/>
  <c r="AJ17" i="28" s="1"/>
  <c r="AI44" i="24"/>
  <c r="AJ44" i="24" s="1"/>
  <c r="AI49" i="24"/>
  <c r="AJ49" i="24" s="1"/>
  <c r="AI45" i="24"/>
  <c r="AJ45" i="24" s="1"/>
  <c r="AI18" i="27"/>
  <c r="AJ18" i="27" s="1"/>
  <c r="AI29" i="27"/>
  <c r="AJ29" i="27" s="1"/>
  <c r="AI40" i="27"/>
  <c r="AJ40" i="27" s="1"/>
  <c r="AI48" i="29"/>
  <c r="AJ48" i="29" s="1"/>
  <c r="AI36" i="29"/>
  <c r="AJ36" i="29" s="1"/>
  <c r="AI23" i="29"/>
  <c r="AJ23" i="29" s="1"/>
  <c r="AI30" i="29"/>
  <c r="AJ30" i="29" s="1"/>
  <c r="AI53" i="25"/>
  <c r="AJ53" i="25" s="1"/>
  <c r="AI39" i="25"/>
  <c r="AJ39" i="25" s="1"/>
  <c r="AI49" i="25"/>
  <c r="AJ49" i="25" s="1"/>
  <c r="AI52" i="28"/>
  <c r="AJ52" i="28" s="1"/>
  <c r="AI15" i="28"/>
  <c r="AJ15" i="28" s="1"/>
  <c r="AI22" i="28"/>
  <c r="AJ22" i="28" s="1"/>
  <c r="AI28" i="26"/>
  <c r="AJ28" i="26" s="1"/>
  <c r="AI36" i="26"/>
  <c r="AJ36" i="26" s="1"/>
  <c r="AI45" i="26"/>
  <c r="AJ45" i="26" s="1"/>
  <c r="AI44" i="28"/>
  <c r="AJ44" i="28" s="1"/>
  <c r="AI48" i="24"/>
  <c r="AJ48" i="24" s="1"/>
  <c r="AI25" i="27"/>
  <c r="AJ25" i="27" s="1"/>
  <c r="AI50" i="25"/>
  <c r="AJ50" i="25" s="1"/>
  <c r="AI24" i="24"/>
  <c r="AJ24" i="24" s="1"/>
  <c r="AI16" i="29"/>
  <c r="AJ16" i="29" s="1"/>
  <c r="AI28" i="24"/>
  <c r="AJ28" i="24" s="1"/>
  <c r="AI30" i="24"/>
  <c r="AJ30" i="24" s="1"/>
  <c r="AI50" i="24"/>
  <c r="AJ50" i="24" s="1"/>
  <c r="AI22" i="24"/>
  <c r="AJ22" i="24" s="1"/>
  <c r="AI26" i="27"/>
  <c r="AJ26" i="27" s="1"/>
  <c r="AI45" i="27"/>
  <c r="AJ45" i="27" s="1"/>
  <c r="AI15" i="27"/>
  <c r="AJ15" i="27" s="1"/>
  <c r="AI25" i="29"/>
  <c r="AJ25" i="29" s="1"/>
  <c r="AI31" i="29"/>
  <c r="AJ31" i="29" s="1"/>
  <c r="AI32" i="29"/>
  <c r="AJ32" i="29" s="1"/>
  <c r="AI17" i="29"/>
  <c r="AJ17" i="29" s="1"/>
  <c r="AI42" i="25"/>
  <c r="AJ42" i="25" s="1"/>
  <c r="AI47" i="25"/>
  <c r="AJ47" i="25" s="1"/>
  <c r="AI52" i="25"/>
  <c r="AJ52" i="25" s="1"/>
  <c r="AI20" i="28"/>
  <c r="AJ20" i="28" s="1"/>
  <c r="AI26" i="28"/>
  <c r="AJ26" i="28" s="1"/>
  <c r="AI53" i="28"/>
  <c r="AJ53" i="28" s="1"/>
  <c r="AI49" i="28"/>
  <c r="AJ49" i="28" s="1"/>
  <c r="AI24" i="26"/>
  <c r="AJ24" i="26" s="1"/>
  <c r="AI51" i="26"/>
  <c r="AJ51" i="26" s="1"/>
  <c r="AI26" i="26"/>
  <c r="AJ26" i="26" s="1"/>
  <c r="AI53" i="24"/>
  <c r="AJ53" i="24" s="1"/>
  <c r="AI46" i="27"/>
  <c r="AJ46" i="27" s="1"/>
  <c r="AI21" i="25"/>
  <c r="AJ21" i="25" s="1"/>
  <c r="AI32" i="27"/>
  <c r="AJ32" i="27" s="1"/>
  <c r="AI29" i="29"/>
  <c r="AJ29" i="29" s="1"/>
  <c r="AI29" i="26"/>
  <c r="AJ29" i="26" s="1"/>
  <c r="AI48" i="25"/>
  <c r="AJ48" i="25" s="1"/>
  <c r="AI46" i="28"/>
  <c r="AJ46" i="28" s="1"/>
  <c r="AI33" i="24"/>
  <c r="AJ33" i="24" s="1"/>
  <c r="AI48" i="27"/>
  <c r="AJ48" i="27" s="1"/>
  <c r="AI19" i="25"/>
  <c r="AJ19" i="25" s="1"/>
  <c r="AI37" i="26"/>
  <c r="AJ37" i="26" s="1"/>
  <c r="AI47" i="27"/>
  <c r="AJ47" i="27" s="1"/>
  <c r="AI44" i="29"/>
  <c r="AJ44" i="29" s="1"/>
  <c r="AI45" i="29"/>
  <c r="AJ45" i="29" s="1"/>
  <c r="AI50" i="29"/>
  <c r="AJ50" i="29" s="1"/>
  <c r="AI33" i="25"/>
  <c r="AJ33" i="25" s="1"/>
  <c r="AI24" i="25"/>
  <c r="AJ24" i="25" s="1"/>
  <c r="AI16" i="25"/>
  <c r="AJ16" i="25" s="1"/>
  <c r="AI21" i="28"/>
  <c r="AJ21" i="28" s="1"/>
  <c r="AI54" i="28"/>
  <c r="AJ54" i="28" s="1"/>
  <c r="AI51" i="28"/>
  <c r="AJ51" i="28" s="1"/>
  <c r="AI27" i="26"/>
  <c r="AJ27" i="26" s="1"/>
  <c r="AI31" i="26"/>
  <c r="AJ31" i="26" s="1"/>
  <c r="AI25" i="26"/>
  <c r="AJ25" i="26" s="1"/>
  <c r="AI33" i="26"/>
  <c r="AJ33" i="26" s="1"/>
  <c r="AI41" i="27"/>
  <c r="AJ41" i="27" s="1"/>
  <c r="AI18" i="28"/>
  <c r="AJ18" i="28" s="1"/>
  <c r="AI18" i="26"/>
  <c r="AJ18" i="26" s="1"/>
  <c r="AI26" i="24"/>
  <c r="AJ26" i="24" s="1"/>
  <c r="AI53" i="27"/>
  <c r="AJ53" i="27" s="1"/>
  <c r="AI43" i="27"/>
  <c r="AJ43" i="27" s="1"/>
  <c r="AI34" i="29"/>
  <c r="AJ34" i="29" s="1"/>
  <c r="AI39" i="29"/>
  <c r="AJ39" i="29" s="1"/>
  <c r="AI38" i="29"/>
  <c r="AJ38" i="29" s="1"/>
  <c r="AI27" i="25"/>
  <c r="AJ27" i="25" s="1"/>
  <c r="AI22" i="25"/>
  <c r="AJ22" i="25" s="1"/>
  <c r="AI32" i="28"/>
  <c r="AJ32" i="28" s="1"/>
  <c r="AI47" i="28"/>
  <c r="AJ47" i="28" s="1"/>
  <c r="AI35" i="26"/>
  <c r="AJ35" i="26" s="1"/>
  <c r="AI52" i="26"/>
  <c r="AJ52" i="26" s="1"/>
  <c r="AI53" i="26"/>
  <c r="AJ53" i="26" s="1"/>
  <c r="AI42" i="24"/>
  <c r="AJ42" i="24" s="1"/>
  <c r="AI17" i="27"/>
  <c r="AJ17" i="27" s="1"/>
  <c r="AI35" i="24"/>
  <c r="AJ35" i="24" s="1"/>
  <c r="AI34" i="24"/>
  <c r="AJ34" i="24" s="1"/>
  <c r="AI19" i="24"/>
  <c r="AJ19" i="24" s="1"/>
  <c r="AI36" i="27"/>
  <c r="AJ36" i="27" s="1"/>
  <c r="AI42" i="27"/>
  <c r="AJ42" i="27" s="1"/>
  <c r="AI34" i="27"/>
  <c r="AJ34" i="27" s="1"/>
  <c r="AI24" i="29"/>
  <c r="AJ24" i="29" s="1"/>
  <c r="AI26" i="29"/>
  <c r="AJ26" i="29" s="1"/>
  <c r="AI25" i="25"/>
  <c r="AJ25" i="25" s="1"/>
  <c r="AI39" i="26"/>
  <c r="AJ39" i="26" s="1"/>
  <c r="AI20" i="24"/>
  <c r="AJ20" i="24" s="1"/>
  <c r="AI37" i="29"/>
  <c r="AJ37" i="29" s="1"/>
  <c r="AI17" i="25"/>
  <c r="AJ17" i="25" s="1"/>
  <c r="AI27" i="24"/>
  <c r="AJ27" i="24" s="1"/>
  <c r="AI18" i="29"/>
  <c r="AJ18" i="29" s="1"/>
  <c r="AI34" i="28"/>
  <c r="AJ34" i="28" s="1"/>
  <c r="AI21" i="26"/>
  <c r="AJ21" i="26" s="1"/>
  <c r="AI37" i="28"/>
  <c r="AJ37" i="28" s="1"/>
  <c r="AI46" i="24"/>
  <c r="AJ46" i="24" s="1"/>
  <c r="AI18" i="24"/>
  <c r="AJ18" i="24" s="1"/>
  <c r="AI27" i="27"/>
  <c r="AJ27" i="27" s="1"/>
  <c r="AI54" i="24"/>
  <c r="AJ54" i="24" s="1"/>
  <c r="AI20" i="29"/>
  <c r="AJ20" i="29" s="1"/>
  <c r="AI31" i="25"/>
  <c r="AJ31" i="25" s="1"/>
  <c r="AI23" i="25"/>
  <c r="AJ23" i="25" s="1"/>
  <c r="AI37" i="25"/>
  <c r="AJ37" i="25" s="1"/>
  <c r="AI42" i="28"/>
  <c r="AJ42" i="28" s="1"/>
  <c r="AI33" i="28"/>
  <c r="AJ33" i="28" s="1"/>
  <c r="AI30" i="28"/>
  <c r="AJ30" i="28" s="1"/>
  <c r="AI46" i="26"/>
  <c r="AJ46" i="26" s="1"/>
  <c r="AI17" i="26"/>
  <c r="AJ17" i="26" s="1"/>
  <c r="AI34" i="26"/>
  <c r="AJ34" i="26" s="1"/>
  <c r="AI43" i="24"/>
  <c r="AJ43" i="24" s="1"/>
  <c r="AI23" i="24"/>
  <c r="AJ23" i="24" s="1"/>
  <c r="AI32" i="24"/>
  <c r="AJ32" i="24" s="1"/>
  <c r="AI41" i="24"/>
  <c r="AJ41" i="24" s="1"/>
  <c r="AI24" i="27"/>
  <c r="AJ24" i="27" s="1"/>
  <c r="AI54" i="27"/>
  <c r="AJ54" i="27" s="1"/>
  <c r="AI23" i="27"/>
  <c r="AJ23" i="27" s="1"/>
  <c r="AI21" i="29"/>
  <c r="AJ21" i="29" s="1"/>
  <c r="AI47" i="29"/>
  <c r="AJ47" i="29" s="1"/>
  <c r="AI15" i="29"/>
  <c r="AJ15" i="29" s="1"/>
  <c r="AI38" i="25"/>
  <c r="AJ38" i="25" s="1"/>
  <c r="AI54" i="25"/>
  <c r="AJ54" i="25" s="1"/>
  <c r="AI40" i="25"/>
  <c r="AJ40" i="25" s="1"/>
  <c r="AI44" i="25"/>
  <c r="AJ44" i="25" s="1"/>
  <c r="AI23" i="28"/>
  <c r="AJ23" i="28" s="1"/>
  <c r="AI41" i="28"/>
  <c r="AJ41" i="28" s="1"/>
  <c r="AI25" i="28"/>
  <c r="AJ25" i="28" s="1"/>
  <c r="AI15" i="26"/>
  <c r="AJ15" i="26" s="1"/>
  <c r="AI43" i="26"/>
  <c r="AJ43" i="26" s="1"/>
  <c r="AI32" i="26"/>
  <c r="AJ32" i="26" s="1"/>
  <c r="AI48" i="26"/>
  <c r="AJ48" i="26" s="1"/>
  <c r="AI28" i="28"/>
  <c r="AJ28" i="28" s="1"/>
  <c r="AI31" i="24"/>
  <c r="AJ31" i="24" s="1"/>
  <c r="AI38" i="24"/>
  <c r="AJ38" i="24" s="1"/>
  <c r="AI16" i="27"/>
  <c r="AJ16" i="27" s="1"/>
  <c r="AI54" i="29"/>
  <c r="AJ54" i="29" s="1"/>
  <c r="AI40" i="29"/>
  <c r="AJ40" i="29" s="1"/>
  <c r="AI35" i="29"/>
  <c r="AJ35" i="29" s="1"/>
  <c r="AI26" i="25"/>
  <c r="AJ26" i="25" s="1"/>
  <c r="AI51" i="25"/>
  <c r="AJ51" i="25" s="1"/>
  <c r="AI38" i="28"/>
  <c r="AJ38" i="28" s="1"/>
  <c r="AI19" i="26"/>
  <c r="AJ19" i="26" s="1"/>
  <c r="AI16" i="24"/>
  <c r="AJ16" i="24" s="1"/>
  <c r="AI15" i="24"/>
  <c r="AJ15" i="24" s="1"/>
  <c r="AI22" i="29"/>
  <c r="AJ22" i="29" s="1"/>
  <c r="AI36" i="24"/>
  <c r="AJ36" i="24" s="1"/>
  <c r="AI17" i="24"/>
  <c r="AJ17" i="24" s="1"/>
  <c r="AI37" i="24"/>
  <c r="AJ37" i="24" s="1"/>
  <c r="AI35" i="27"/>
  <c r="AJ35" i="27" s="1"/>
  <c r="AI50" i="27"/>
  <c r="AJ50" i="27" s="1"/>
  <c r="AI31" i="27"/>
  <c r="AJ31" i="27" s="1"/>
  <c r="AI51" i="27"/>
  <c r="AJ51" i="27" s="1"/>
  <c r="AI51" i="29"/>
  <c r="AJ51" i="29" s="1"/>
  <c r="AI49" i="29"/>
  <c r="AJ49" i="29" s="1"/>
  <c r="AI52" i="29"/>
  <c r="AJ52" i="29" s="1"/>
  <c r="AI43" i="25"/>
  <c r="AJ43" i="25" s="1"/>
  <c r="AI30" i="25"/>
  <c r="AJ30" i="25" s="1"/>
  <c r="AI28" i="25"/>
  <c r="AJ28" i="25" s="1"/>
  <c r="AI29" i="25"/>
  <c r="AJ29" i="25" s="1"/>
  <c r="AI27" i="28"/>
  <c r="AJ27" i="28" s="1"/>
  <c r="AI29" i="28"/>
  <c r="AJ29" i="28" s="1"/>
  <c r="AI40" i="28"/>
  <c r="AJ40" i="28" s="1"/>
  <c r="AI47" i="26"/>
  <c r="AJ47" i="26" s="1"/>
  <c r="AI22" i="26"/>
  <c r="AJ22" i="26" s="1"/>
  <c r="AI30" i="26"/>
  <c r="AJ30" i="26" s="1"/>
  <c r="AI44" i="26"/>
  <c r="AJ44" i="26" s="1"/>
  <c r="K50" i="1"/>
  <c r="K31" i="1" l="1"/>
  <c r="K52" i="1"/>
  <c r="K28" i="1"/>
  <c r="K56" i="1"/>
  <c r="K32" i="1"/>
  <c r="K47" i="1"/>
  <c r="K42" i="1"/>
  <c r="K54" i="1"/>
  <c r="K59" i="1"/>
  <c r="K40" i="1"/>
  <c r="K25" i="1"/>
  <c r="K24" i="1"/>
  <c r="K29" i="1"/>
  <c r="K55" i="1"/>
  <c r="K27" i="1"/>
  <c r="K39" i="1"/>
  <c r="K51" i="1"/>
  <c r="K23" i="1"/>
  <c r="K30" i="1"/>
  <c r="K46" i="1"/>
  <c r="K22" i="1"/>
  <c r="K48" i="1"/>
  <c r="K41" i="1"/>
  <c r="K49" i="1"/>
  <c r="K34" i="1"/>
  <c r="K21" i="1"/>
  <c r="P36" i="1"/>
  <c r="R40" i="1"/>
  <c r="R25" i="1"/>
  <c r="N21" i="1"/>
  <c r="M22" i="1"/>
  <c r="N45" i="1"/>
  <c r="N30" i="1"/>
  <c r="M43" i="1"/>
  <c r="M33" i="1"/>
  <c r="R50" i="1"/>
  <c r="M49" i="1"/>
  <c r="M26" i="1"/>
  <c r="Q33" i="1"/>
  <c r="P39" i="1"/>
  <c r="P51" i="1"/>
  <c r="Q22" i="1"/>
  <c r="R32" i="1"/>
  <c r="R57" i="1"/>
  <c r="M21" i="1"/>
  <c r="O53" i="1"/>
  <c r="R52" i="1"/>
  <c r="Q35" i="1"/>
  <c r="O26" i="1"/>
  <c r="P47" i="1"/>
  <c r="N27" i="1"/>
  <c r="O30" i="1"/>
  <c r="P52" i="1"/>
  <c r="R37" i="1"/>
  <c r="N55" i="1"/>
  <c r="N58" i="1"/>
  <c r="R24" i="1"/>
  <c r="Q55" i="1"/>
  <c r="P25" i="1"/>
  <c r="P26" i="1"/>
  <c r="P54" i="1"/>
  <c r="P43" i="1"/>
  <c r="K43" i="1"/>
  <c r="K26" i="1"/>
  <c r="O49" i="1"/>
  <c r="R54" i="1"/>
  <c r="O24" i="1"/>
  <c r="O37" i="1"/>
  <c r="R26" i="1"/>
  <c r="Q38" i="1"/>
  <c r="Q39" i="1"/>
  <c r="P41" i="1"/>
  <c r="N32" i="1"/>
  <c r="O36" i="1"/>
  <c r="O42" i="1"/>
  <c r="O31" i="1"/>
  <c r="R36" i="1"/>
  <c r="P30" i="1"/>
  <c r="R35" i="1"/>
  <c r="M57" i="1"/>
  <c r="Q40" i="1"/>
  <c r="P44" i="1"/>
  <c r="P24" i="1"/>
  <c r="O46" i="1"/>
  <c r="Q30" i="1"/>
  <c r="P55" i="1"/>
  <c r="Q26" i="1"/>
  <c r="M27" i="1"/>
  <c r="N49" i="1"/>
  <c r="N34" i="1"/>
  <c r="O57" i="1"/>
  <c r="N25" i="1"/>
  <c r="M41" i="1"/>
  <c r="R31" i="1"/>
  <c r="Q23" i="1"/>
  <c r="M54" i="1"/>
  <c r="R27" i="1"/>
  <c r="O22" i="1"/>
  <c r="N47" i="1"/>
  <c r="P38" i="1"/>
  <c r="R20" i="1"/>
  <c r="Q37" i="1"/>
  <c r="R22" i="1"/>
  <c r="Q53" i="1"/>
  <c r="N24" i="1"/>
  <c r="P31" i="1"/>
  <c r="P40" i="1"/>
  <c r="O33" i="1"/>
  <c r="R59" i="1"/>
  <c r="P35" i="1"/>
  <c r="N59" i="1"/>
  <c r="R55" i="1"/>
  <c r="N52" i="1"/>
  <c r="N35" i="1"/>
  <c r="M36" i="1"/>
  <c r="M51" i="1"/>
  <c r="P46" i="1"/>
  <c r="N26" i="1"/>
  <c r="N40" i="1"/>
  <c r="M20" i="1"/>
  <c r="Q42" i="1"/>
  <c r="R49" i="1"/>
  <c r="N44" i="1"/>
  <c r="P49" i="1"/>
  <c r="O35" i="1"/>
  <c r="R56" i="1"/>
  <c r="Q43" i="1"/>
  <c r="O48" i="1"/>
  <c r="P28" i="1"/>
  <c r="Q47" i="1"/>
  <c r="R23" i="1"/>
  <c r="M24" i="1"/>
  <c r="R43" i="1"/>
  <c r="O32" i="1"/>
  <c r="O56" i="1"/>
  <c r="R30" i="1"/>
  <c r="M53" i="1"/>
  <c r="R28" i="1"/>
  <c r="Q36" i="1"/>
  <c r="Q44" i="1"/>
  <c r="M52" i="1"/>
  <c r="P57" i="1"/>
  <c r="Q24" i="1"/>
  <c r="K38" i="1"/>
  <c r="K58" i="1"/>
  <c r="O27" i="1"/>
  <c r="P56" i="1"/>
  <c r="N56" i="1"/>
  <c r="O20" i="1"/>
  <c r="P59" i="1"/>
  <c r="N42" i="1"/>
  <c r="M32" i="1"/>
  <c r="M39" i="1"/>
  <c r="R44" i="1"/>
  <c r="Q56" i="1"/>
  <c r="P53" i="1"/>
  <c r="O29" i="1"/>
  <c r="P20" i="1"/>
  <c r="Q49" i="1"/>
  <c r="R41" i="1"/>
  <c r="N37" i="1"/>
  <c r="Q21" i="1"/>
  <c r="M30" i="1"/>
  <c r="P27" i="1"/>
  <c r="R38" i="1"/>
  <c r="M40" i="1"/>
  <c r="R39" i="1"/>
  <c r="Q59" i="1"/>
  <c r="M38" i="1"/>
  <c r="Q54" i="1"/>
  <c r="P50" i="1"/>
  <c r="O50" i="1"/>
  <c r="R53" i="1"/>
  <c r="R47" i="1"/>
  <c r="N41" i="1"/>
  <c r="M34" i="1"/>
  <c r="M56" i="1"/>
  <c r="N39" i="1"/>
  <c r="K45" i="1"/>
  <c r="K33" i="1"/>
  <c r="O52" i="1"/>
  <c r="M46" i="1"/>
  <c r="P42" i="1"/>
  <c r="N20" i="1"/>
  <c r="O54" i="1"/>
  <c r="M45" i="1"/>
  <c r="M44" i="1"/>
  <c r="N28" i="1"/>
  <c r="Q58" i="1"/>
  <c r="M25" i="1"/>
  <c r="P34" i="1"/>
  <c r="N46" i="1"/>
  <c r="N23" i="1"/>
  <c r="O47" i="1"/>
  <c r="O59" i="1"/>
  <c r="O55" i="1"/>
  <c r="Q45" i="1"/>
  <c r="O41" i="1"/>
  <c r="Q28" i="1"/>
  <c r="M59" i="1"/>
  <c r="O44" i="1"/>
  <c r="O58" i="1"/>
  <c r="M31" i="1"/>
  <c r="N29" i="1"/>
  <c r="O34" i="1"/>
  <c r="Q25" i="1"/>
  <c r="M55" i="1"/>
  <c r="Q27" i="1"/>
  <c r="P23" i="1"/>
  <c r="R48" i="1"/>
  <c r="R46" i="1"/>
  <c r="Q29" i="1"/>
  <c r="Q41" i="1"/>
  <c r="S41" i="1" s="1"/>
  <c r="T41" i="1" s="1"/>
  <c r="O28" i="1"/>
  <c r="P29" i="1"/>
  <c r="Q46" i="1"/>
  <c r="Q51" i="1"/>
  <c r="R45" i="1"/>
  <c r="N53" i="1"/>
  <c r="N38" i="1"/>
  <c r="O45" i="1"/>
  <c r="P48" i="1"/>
  <c r="Q34" i="1"/>
  <c r="M47" i="1"/>
  <c r="M42" i="1"/>
  <c r="M28" i="1"/>
  <c r="M48" i="1"/>
  <c r="R34" i="1"/>
  <c r="Q20" i="1"/>
  <c r="P37" i="1"/>
  <c r="O25" i="1"/>
  <c r="R33" i="1"/>
  <c r="N51" i="1"/>
  <c r="P33" i="1"/>
  <c r="Q48" i="1"/>
  <c r="R42" i="1"/>
  <c r="Q50" i="1"/>
  <c r="O21" i="1"/>
  <c r="P32" i="1"/>
  <c r="M50" i="1"/>
  <c r="M23" i="1"/>
  <c r="N54" i="1"/>
  <c r="O43" i="1"/>
  <c r="N31" i="1"/>
  <c r="N22" i="1"/>
  <c r="N36" i="1"/>
  <c r="P22" i="1"/>
  <c r="P45" i="1"/>
  <c r="M37" i="1"/>
  <c r="P58" i="1"/>
  <c r="Q31" i="1"/>
  <c r="Q32" i="1"/>
  <c r="P21" i="1"/>
  <c r="O23" i="1"/>
  <c r="N57" i="1"/>
  <c r="M35" i="1"/>
  <c r="R51" i="1"/>
  <c r="N33" i="1"/>
  <c r="O39" i="1"/>
  <c r="O40" i="1"/>
  <c r="Q57" i="1"/>
  <c r="N43" i="1"/>
  <c r="R29" i="1"/>
  <c r="Q52" i="1"/>
  <c r="R21" i="1"/>
  <c r="N50" i="1"/>
  <c r="N48" i="1"/>
  <c r="O51" i="1"/>
  <c r="O38" i="1"/>
  <c r="M29" i="1"/>
  <c r="R58" i="1"/>
  <c r="M58" i="1"/>
  <c r="S43" i="1" l="1"/>
  <c r="T43" i="1" s="1"/>
  <c r="S38" i="1"/>
  <c r="T38" i="1" s="1"/>
  <c r="S35" i="1"/>
  <c r="T35" i="1" s="1"/>
  <c r="S24" i="1"/>
  <c r="T24" i="1" s="1"/>
  <c r="S45" i="1"/>
  <c r="T45" i="1" s="1"/>
  <c r="S47" i="1"/>
  <c r="T47" i="1" s="1"/>
  <c r="S28" i="1"/>
  <c r="T28" i="1" s="1"/>
  <c r="S25" i="1"/>
  <c r="T25" i="1" s="1"/>
  <c r="S53" i="1"/>
  <c r="T53" i="1" s="1"/>
  <c r="S40" i="1"/>
  <c r="T40" i="1" s="1"/>
  <c r="S57" i="1"/>
  <c r="T57" i="1" s="1"/>
  <c r="S31" i="1"/>
  <c r="T31" i="1" s="1"/>
  <c r="S27" i="1"/>
  <c r="T27" i="1" s="1"/>
  <c r="S52" i="1"/>
  <c r="T52" i="1" s="1"/>
  <c r="S50" i="1"/>
  <c r="T50" i="1" s="1"/>
  <c r="S32" i="1"/>
  <c r="T32" i="1" s="1"/>
  <c r="S26" i="1"/>
  <c r="T26" i="1" s="1"/>
  <c r="S29" i="1"/>
  <c r="T29" i="1" s="1"/>
  <c r="S34" i="1"/>
  <c r="T34" i="1" s="1"/>
  <c r="S39" i="1"/>
  <c r="T39" i="1" s="1"/>
  <c r="S33" i="1"/>
  <c r="T33" i="1" s="1"/>
  <c r="S46" i="1"/>
  <c r="T46" i="1" s="1"/>
  <c r="S51" i="1"/>
  <c r="T51" i="1" s="1"/>
  <c r="S37" i="1"/>
  <c r="T37" i="1" s="1"/>
  <c r="S58" i="1"/>
  <c r="T58" i="1" s="1"/>
  <c r="S48" i="1"/>
  <c r="T48" i="1" s="1"/>
  <c r="S55" i="1"/>
  <c r="T55" i="1" s="1"/>
  <c r="S49" i="1"/>
  <c r="T49" i="1" s="1"/>
  <c r="S59" i="1"/>
  <c r="T59" i="1" s="1"/>
  <c r="S56" i="1"/>
  <c r="T56" i="1" s="1"/>
  <c r="S44" i="1"/>
  <c r="T44" i="1" s="1"/>
  <c r="S23" i="1"/>
  <c r="T23" i="1" s="1"/>
  <c r="S22" i="1"/>
  <c r="T22" i="1" s="1"/>
  <c r="S30" i="1"/>
  <c r="T30" i="1" s="1"/>
  <c r="S54" i="1"/>
  <c r="T54" i="1" s="1"/>
  <c r="S42" i="1"/>
  <c r="T42" i="1" s="1"/>
  <c r="S20" i="1"/>
  <c r="T20" i="1" s="1"/>
  <c r="S36" i="1"/>
  <c r="T36" i="1" s="1"/>
  <c r="S21" i="1"/>
  <c r="T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<sst xmlns="http://schemas.openxmlformats.org/spreadsheetml/2006/main" count="174" uniqueCount="18">
  <si>
    <t>PEMERINTAH PROVINSI JAWA TIMUR</t>
  </si>
  <si>
    <t>DINAS PENDIDIKAN</t>
  </si>
  <si>
    <t>SEKOLAH MENENGAH ATAS NEGERI 21 SURABAYA</t>
  </si>
  <si>
    <t>Jl. Argopuro 11-15 Surabaya Telp. 031-5350753 Fax. 031-5341530</t>
  </si>
  <si>
    <t xml:space="preserve">DAFTAR KETERLAMBATAN SISWA </t>
  </si>
  <si>
    <t xml:space="preserve">Tahun Pelajaran </t>
  </si>
  <si>
    <t>NO</t>
  </si>
  <si>
    <t>NAMA LENGKAP</t>
  </si>
  <si>
    <t xml:space="preserve">JK </t>
  </si>
  <si>
    <t>JUMLAH  SEMESTER 1</t>
  </si>
  <si>
    <t>JUMLAH  SEMESTER 2</t>
  </si>
  <si>
    <t xml:space="preserve">JUMLAH  AKUMULASI 2 SEMESTER </t>
  </si>
  <si>
    <t>Urut</t>
  </si>
  <si>
    <t>NIS</t>
  </si>
  <si>
    <t>H</t>
  </si>
  <si>
    <t xml:space="preserve"> </t>
  </si>
  <si>
    <t>PERTEMUAN TGL (ABSENSI)</t>
  </si>
  <si>
    <t>Total Keterlambatan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</si>
</sst>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3" x14ac:knownFonts="1">
    <font>
      <sz val="11"/>
      <color theme="1"/>
      <name val="Calibri"/>
      <charset val="1"/>
    </font>
    <font>
      <b/>
      <sz val="14"/>
      <color theme="1"/>
      <name val="Arial Narrow"/>
      <charset val="1"/>
    </font>
    <font>
      <sz val="11"/>
      <color theme="1"/>
      <name val="Arial Narrow"/>
      <charset val="1"/>
    </font>
    <font>
      <sz val="11"/>
      <color rgb="FF1F1F1F"/>
      <name val="Arial Narrow"/>
      <charset val="1"/>
    </font>
    <font>
      <sz val="10"/>
      <color theme="1"/>
      <name val="Times New Roman"/>
      <charset val="1"/>
    </font>
    <font>
      <sz val="10"/>
      <color theme="1"/>
      <name val="Arial Narrow"/>
      <charset val="1"/>
    </font>
    <font>
      <b/>
      <sz val="12"/>
      <color theme="1"/>
      <name val="Times New Roman"/>
      <charset val="1"/>
    </font>
    <font>
      <b/>
      <sz val="11"/>
      <color theme="1"/>
      <name val="Times New Roman"/>
      <charset val="1"/>
    </font>
    <font>
      <b/>
      <sz val="10"/>
      <color theme="1"/>
      <name val="Times New Roman"/>
      <charset val="1"/>
    </font>
    <font>
      <b/>
      <sz val="9"/>
      <color theme="1"/>
      <name val="Times New Roman"/>
      <charset val="1"/>
    </font>
    <font>
      <b/>
      <sz val="11"/>
      <color theme="1"/>
      <name val="Calibri"/>
      <charset val="1"/>
    </font>
    <font>
      <b/>
      <sz val="9"/>
      <color theme="1"/>
      <name val="Arial Narrow"/>
      <charset val="1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EF2CB"/>
        <bgColor rgb="FFFFFF99"/>
      </patternFill>
    </fill>
    <fill>
      <patternFill patternType="solid">
        <fgColor rgb="FFDEEAF6"/>
        <bgColor rgb="FFDEEBF7"/>
      </patternFill>
    </fill>
    <fill>
      <patternFill patternType="solid">
        <fgColor rgb="FFFED3CE"/>
        <bgColor rgb="FFFEF2CB"/>
      </patternFill>
    </fill>
    <fill>
      <patternFill patternType="solid">
        <fgColor rgb="FFB6D7A8"/>
        <bgColor rgb="FFCCCCFF"/>
      </patternFill>
    </fill>
    <fill>
      <patternFill patternType="solid">
        <fgColor rgb="FF8EAADB"/>
        <bgColor rgb="FF969696"/>
      </patternFill>
    </fill>
    <fill>
      <patternFill patternType="solid">
        <fgColor theme="0"/>
        <bgColor rgb="FFFEF2CB"/>
      </patternFill>
    </fill>
    <fill>
      <patternFill patternType="solid">
        <fgColor rgb="FFF4B083"/>
        <bgColor rgb="FFFED3CE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12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49" fontId="8" fillId="4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255"/>
    </xf>
    <xf numFmtId="0" fontId="8" fillId="2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Font="1"/>
    <xf numFmtId="0" fontId="4" fillId="0" borderId="2" xfId="0" applyFont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2" fillId="7" borderId="0" xfId="0" applyFont="1" applyFill="1" applyBorder="1"/>
    <xf numFmtId="0" fontId="11" fillId="7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" fontId="9" fillId="0" borderId="2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textRotation="255"/>
    </xf>
    <xf numFmtId="16" fontId="9" fillId="0" borderId="0" xfId="0" applyNumberFormat="1" applyFont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7" borderId="0" xfId="0" applyFont="1" applyFill="1" applyBorder="1" applyAlignment="1">
      <alignment horizontal="center" vertical="center"/>
    </xf>
    <xf numFmtId="14" fontId="0" fillId="0" borderId="0" xfId="0" applyNumberFormat="1"/>
    <xf numFmtId="0" fontId="9" fillId="0" borderId="5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1" fillId="7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6" borderId="7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9" fillId="4" borderId="11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 wrapText="1"/>
    </xf>
    <xf numFmtId="49" fontId="9" fillId="5" borderId="12" xfId="0" applyNumberFormat="1" applyFont="1" applyFill="1" applyBorder="1" applyAlignment="1">
      <alignment horizontal="center" vertical="center" wrapText="1"/>
    </xf>
    <xf numFmtId="49" fontId="9" fillId="5" borderId="11" xfId="0" applyNumberFormat="1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textRotation="255"/>
    </xf>
    <xf numFmtId="0" fontId="8" fillId="0" borderId="11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 textRotation="255"/>
    </xf>
    <xf numFmtId="49" fontId="8" fillId="4" borderId="12" xfId="0" applyNumberFormat="1" applyFont="1" applyFill="1" applyBorder="1" applyAlignment="1">
      <alignment horizontal="center" vertical="center" wrapText="1"/>
    </xf>
    <xf numFmtId="49" fontId="8" fillId="4" borderId="11" xfId="0" applyNumberFormat="1" applyFont="1" applyFill="1" applyBorder="1" applyAlignment="1">
      <alignment horizontal="center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8" fillId="6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textRotation="255"/>
    </xf>
    <xf numFmtId="0" fontId="10" fillId="8" borderId="2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808CBE8-5FFC-4A39-B6F5-63235908DA52}"/>
  </cellStyles>
  <dxfs count="72"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F7F7F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7F7F7F"/>
      <rgbColor rgb="FF8EAADB"/>
      <rgbColor rgb="FF993366"/>
      <rgbColor rgb="FFFEF2CB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CCFFCC"/>
      <rgbColor rgb="FFFFFF99"/>
      <rgbColor rgb="FF99CCFF"/>
      <rgbColor rgb="FFF4B083"/>
      <rgbColor rgb="FFCC99FF"/>
      <rgbColor rgb="FFFED3CE"/>
      <rgbColor rgb="FF4472C4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800280</xdr:colOff>
      <xdr:row>0</xdr:row>
      <xdr:rowOff>0</xdr:rowOff>
    </xdr:from>
    <xdr:to>
      <xdr:col>2</xdr:col>
      <xdr:colOff>2000160</xdr:colOff>
      <xdr:row>6</xdr:row>
      <xdr:rowOff>161640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66880" y="0"/>
          <a:ext cx="1199880" cy="1247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A952CCE-7A8B-4A2C-B55B-32AB22F9823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53005CE-0FAC-4DCB-B3DE-491ABDAC02C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1EB8B30-FA17-42CF-A17C-B93BB52AEE3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A04936F8-A220-472F-B8BF-41496522CEC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78C265E-4382-48E2-86AC-6C4EE03C4CB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E2A578E-2545-429F-BE2F-32C2FAF8CCF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EC9FA1A-66C6-425E-A33A-324DF1FB92D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89CDBE5-8CCB-43B0-9072-652D56FABF1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B98F01B9-D287-4D27-BCD0-624B1B94926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EDA3AA7B-B744-461C-9FEC-76D8E30CC28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7A4C30A-6C05-4EC7-BE8A-F1249C6EDD9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895320</xdr:colOff>
      <xdr:row>0</xdr:row>
      <xdr:rowOff>38160</xdr:rowOff>
    </xdr:from>
    <xdr:to>
      <xdr:col>2</xdr:col>
      <xdr:colOff>2095200</xdr:colOff>
      <xdr:row>6</xdr:row>
      <xdr:rowOff>190080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685A952-B5B6-4F44-8E0D-EF6BFC28A5E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23995" y="38160"/>
          <a:ext cx="1199880" cy="12472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9"/>
  <sheetViews>
    <sheetView tabSelected="1" topLeftCell="A27" zoomScaleNormal="100" workbookViewId="0">
      <selection activeCell="E20" sqref="E20:T59"/>
    </sheetView>
  </sheetViews>
  <sheetFormatPr defaultColWidth="14.42578125" defaultRowHeight="15" customHeight="1" x14ac:dyDescent="0.25"/>
  <cols>
    <col min="1" max="1" width="4.28515625" customWidth="1"/>
    <col min="2" max="2" width="9.42578125" hidden="1" customWidth="1"/>
    <col min="3" max="3" width="42.7109375" style="46" customWidth="1"/>
    <col min="4" max="4" width="2.85546875" customWidth="1"/>
    <col min="5" max="10" width="11.28515625" customWidth="1"/>
    <col min="11" max="11" width="12.140625" customWidth="1"/>
    <col min="12" max="18" width="11.28515625" customWidth="1"/>
    <col min="19" max="20" width="12.28515625" customWidth="1"/>
    <col min="21" max="27" width="8.7109375" customWidth="1"/>
  </cols>
  <sheetData>
    <row r="1" spans="1:20" ht="14.25" customHeight="1" x14ac:dyDescent="0.25">
      <c r="D1" s="1"/>
      <c r="E1" s="73" t="s">
        <v>0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20" ht="14.25" customHeight="1" x14ac:dyDescent="0.25">
      <c r="D2" s="1"/>
      <c r="E2" s="73" t="s">
        <v>1</v>
      </c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20" ht="14.25" customHeight="1" x14ac:dyDescent="0.25">
      <c r="D3" s="1"/>
      <c r="E3" s="73" t="s">
        <v>2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</row>
    <row r="4" spans="1:20" ht="14.25" customHeight="1" x14ac:dyDescent="0.3">
      <c r="D4" s="2"/>
      <c r="E4" s="83" t="s">
        <v>3</v>
      </c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</row>
    <row r="5" spans="1:20" ht="14.25" customHeight="1" x14ac:dyDescent="0.25">
      <c r="D5" s="3"/>
      <c r="E5" s="4"/>
      <c r="F5" s="3"/>
      <c r="G5" s="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4.25" customHeight="1" x14ac:dyDescent="0.25">
      <c r="A6" s="6"/>
      <c r="D6" s="1"/>
      <c r="E6" s="73" t="s">
        <v>4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</row>
    <row r="7" spans="1:20" ht="14.25" customHeight="1" x14ac:dyDescent="0.25">
      <c r="D7" s="1"/>
      <c r="E7" s="73" t="e">
        <f ca="1">"Tahun Pelajaran "&amp;MID(D12,3,9)</f>
        <v>#REF!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</row>
    <row r="8" spans="1:20" ht="14.25" hidden="1" customHeight="1" x14ac:dyDescent="0.25">
      <c r="A8" s="7"/>
      <c r="B8" s="7"/>
      <c r="C8" s="47"/>
      <c r="D8" s="3"/>
    </row>
    <row r="9" spans="1:20" ht="14.25" hidden="1" customHeight="1" x14ac:dyDescent="0.25">
      <c r="A9" s="8"/>
      <c r="B9" s="8"/>
      <c r="C9" s="4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4.25" hidden="1" customHeight="1" x14ac:dyDescent="0.25">
      <c r="A10" s="8"/>
      <c r="B10" s="8"/>
      <c r="C10" s="4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4.25" customHeight="1" x14ac:dyDescent="0.25">
      <c r="A11" s="9"/>
      <c r="B11" s="9"/>
      <c r="C11" s="49"/>
      <c r="D11" s="10"/>
    </row>
    <row r="12" spans="1:20" ht="14.25" customHeight="1" x14ac:dyDescent="0.25">
      <c r="A12" s="74" t="s">
        <v>5</v>
      </c>
      <c r="B12" s="74"/>
      <c r="C12" s="74"/>
      <c r="D12" s="6" t="e">
        <f ca="1">": "&amp;INDIRECT("'Data Murid'!A3")</f>
        <v>#REF!</v>
      </c>
    </row>
    <row r="13" spans="1:20" ht="14.25" customHeight="1" x14ac:dyDescent="0.25">
      <c r="A13" s="11"/>
      <c r="B13" s="11"/>
      <c r="C13" s="50"/>
      <c r="D13" s="11"/>
    </row>
    <row r="14" spans="1:20" ht="14.25" customHeight="1" x14ac:dyDescent="0.25">
      <c r="A14" s="71" t="s">
        <v>6</v>
      </c>
      <c r="B14" s="12"/>
      <c r="C14" s="71" t="s">
        <v>7</v>
      </c>
      <c r="D14" s="77" t="s">
        <v>8</v>
      </c>
      <c r="E14" s="59" t="e">
        <f ca="1">"JULI                        "&amp;LEFT(MID(D12,3,9),4)</f>
        <v>#REF!</v>
      </c>
      <c r="F14" s="62" t="e">
        <f ca="1">"AGUSTUS                        "&amp;LEFT(MID(D12,3,9),4)</f>
        <v>#REF!</v>
      </c>
      <c r="G14" s="59" t="e">
        <f ca="1">"SEPTEMBER                        "&amp;LEFT(MID(D12,3,9),4)</f>
        <v>#REF!</v>
      </c>
      <c r="H14" s="62" t="e">
        <f ca="1">"OKTOBER                        "&amp;LEFT(MID(D12,3,9),4)</f>
        <v>#REF!</v>
      </c>
      <c r="I14" s="59" t="e">
        <f ca="1">"NOVEMBER                        "&amp;LEFT(MID(D12,3,9),4)</f>
        <v>#REF!</v>
      </c>
      <c r="J14" s="62" t="e">
        <f ca="1">"DESEMBER                        "&amp;LEFT(MID(D12,3,9),4)</f>
        <v>#REF!</v>
      </c>
      <c r="K14" s="80" t="s">
        <v>9</v>
      </c>
      <c r="L14" s="13"/>
      <c r="M14" s="59" t="e">
        <f ca="1">"JANUARI                 "&amp;RIGHT(MID(D12,3,9),4)</f>
        <v>#REF!</v>
      </c>
      <c r="N14" s="62" t="e">
        <f ca="1">"FEBRUARI                 "&amp;RIGHT(MID(D12,3,9),4)</f>
        <v>#REF!</v>
      </c>
      <c r="O14" s="59" t="e">
        <f ca="1">"MARET                 "&amp;RIGHT(MID(D12,3,9),4)</f>
        <v>#REF!</v>
      </c>
      <c r="P14" s="62" t="e">
        <f ca="1">"APRIL                 "&amp;RIGHT(MID(D12,3,9),4)</f>
        <v>#REF!</v>
      </c>
      <c r="Q14" s="59" t="e">
        <f ca="1">"MEI               "&amp;RIGHT(MID(D12,3,9),4)</f>
        <v>#REF!</v>
      </c>
      <c r="R14" s="62" t="e">
        <f ca="1">"JUNI                 "&amp;RIGHT(MID(D12,3,9),4)</f>
        <v>#REF!</v>
      </c>
      <c r="S14" s="65" t="s">
        <v>10</v>
      </c>
      <c r="T14" s="68" t="s">
        <v>11</v>
      </c>
    </row>
    <row r="15" spans="1:20" ht="14.25" customHeight="1" x14ac:dyDescent="0.25">
      <c r="A15" s="75"/>
      <c r="B15" s="12"/>
      <c r="C15" s="76"/>
      <c r="D15" s="78"/>
      <c r="E15" s="60"/>
      <c r="F15" s="63"/>
      <c r="G15" s="60"/>
      <c r="H15" s="63"/>
      <c r="I15" s="60"/>
      <c r="J15" s="63"/>
      <c r="K15" s="81"/>
      <c r="L15" s="13"/>
      <c r="M15" s="60"/>
      <c r="N15" s="63"/>
      <c r="O15" s="60"/>
      <c r="P15" s="63"/>
      <c r="Q15" s="60"/>
      <c r="R15" s="63"/>
      <c r="S15" s="66"/>
      <c r="T15" s="69"/>
    </row>
    <row r="16" spans="1:20" ht="14.25" customHeight="1" x14ac:dyDescent="0.25">
      <c r="A16" s="71" t="s">
        <v>12</v>
      </c>
      <c r="B16" s="71" t="s">
        <v>13</v>
      </c>
      <c r="C16" s="76"/>
      <c r="D16" s="78"/>
      <c r="E16" s="61"/>
      <c r="F16" s="64"/>
      <c r="G16" s="61"/>
      <c r="H16" s="64"/>
      <c r="I16" s="61"/>
      <c r="J16" s="64"/>
      <c r="K16" s="82"/>
      <c r="L16" s="13"/>
      <c r="M16" s="61"/>
      <c r="N16" s="64"/>
      <c r="O16" s="61"/>
      <c r="P16" s="64"/>
      <c r="Q16" s="61"/>
      <c r="R16" s="64"/>
      <c r="S16" s="67"/>
      <c r="T16" s="70"/>
    </row>
    <row r="17" spans="1:21" ht="14.25" customHeight="1" thickBot="1" x14ac:dyDescent="0.3">
      <c r="A17" s="72"/>
      <c r="B17" s="72"/>
      <c r="C17" s="72"/>
      <c r="D17" s="79"/>
      <c r="E17" s="14" t="s">
        <v>14</v>
      </c>
      <c r="F17" s="15" t="s">
        <v>14</v>
      </c>
      <c r="G17" s="14" t="s">
        <v>14</v>
      </c>
      <c r="H17" s="15" t="s">
        <v>14</v>
      </c>
      <c r="I17" s="14" t="s">
        <v>14</v>
      </c>
      <c r="J17" s="15" t="s">
        <v>14</v>
      </c>
      <c r="K17" s="16" t="s">
        <v>14</v>
      </c>
      <c r="L17" s="16"/>
      <c r="M17" s="14" t="s">
        <v>14</v>
      </c>
      <c r="N17" s="15" t="s">
        <v>14</v>
      </c>
      <c r="O17" s="14" t="s">
        <v>14</v>
      </c>
      <c r="P17" s="15" t="s">
        <v>14</v>
      </c>
      <c r="Q17" s="14" t="s">
        <v>14</v>
      </c>
      <c r="R17" s="15" t="s">
        <v>14</v>
      </c>
      <c r="S17" s="16" t="s">
        <v>14</v>
      </c>
      <c r="T17" s="17" t="s">
        <v>14</v>
      </c>
    </row>
    <row r="18" spans="1:21" ht="6" customHeight="1" thickTop="1" x14ac:dyDescent="0.25">
      <c r="A18" s="18"/>
      <c r="B18" s="19"/>
      <c r="C18" s="51"/>
      <c r="D18" s="20"/>
      <c r="E18" s="21"/>
      <c r="F18" s="22"/>
      <c r="G18" s="21"/>
      <c r="H18" s="22"/>
      <c r="I18" s="21"/>
      <c r="J18" s="22"/>
      <c r="K18" s="23"/>
      <c r="L18" s="23"/>
      <c r="M18" s="21"/>
      <c r="N18" s="22"/>
      <c r="O18" s="21"/>
      <c r="P18" s="22"/>
      <c r="Q18" s="21"/>
      <c r="R18" s="22"/>
      <c r="S18" s="23"/>
      <c r="T18" s="24"/>
    </row>
    <row r="19" spans="1:21" ht="14.25" customHeight="1" x14ac:dyDescent="0.25">
      <c r="A19" s="56" t="e" cm="1">
        <f t="array" aca="1" ref="A19" ca="1">INDIRECT("'Data Murid'!A" &amp; ROW(A5)) &amp; "    " &amp; INDIRECT("'Data Murid'!A" &amp; ROW(A6))</f>
        <v>#REF!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8"/>
    </row>
    <row r="20" spans="1:21" s="6" customFormat="1" ht="14.25" customHeight="1" x14ac:dyDescent="0.25">
      <c r="A20" s="25">
        <v>1</v>
      </c>
      <c r="B20" s="25" t="e">
        <f t="shared" ref="B20:B59" ca="1" si="0">IF(INDIRECT("'Data Murid'!B" &amp; ROW(A8))="", "", INDIRECT("'Data Murid'!B" &amp; ROW(A8)))</f>
        <v>#REF!</v>
      </c>
      <c r="C20" s="52" t="e">
        <f t="shared" ref="C20:C59" ca="1" si="1">IF(INDIRECT("'Data Murid'!C" &amp; ROW(B8))="", "", INDIRECT("'Data Murid'!C" &amp; ROW(B8)))</f>
        <v>#REF!</v>
      </c>
      <c r="D20" s="25" t="e">
        <f t="shared" ref="D20:D59" ca="1" si="2">IF(INDIRECT("'Data Murid'!D" &amp; ROW(C8))="", "", LEFT(INDIRECT("'Data Murid'!D" &amp; ROW(C8)),1))</f>
        <v>#REF!</v>
      </c>
      <c r="E20" s="21">
        <f ca="1">Jul!AJ15</f>
        <v>0</v>
      </c>
      <c r="F20" s="22">
        <f ca="1">Ags!AJ15</f>
        <v>0</v>
      </c>
      <c r="G20" s="21">
        <f ca="1">Sep!AJ15</f>
        <v>0</v>
      </c>
      <c r="H20" s="22">
        <f ca="1">Okt!AJ15</f>
        <v>0</v>
      </c>
      <c r="I20" s="21">
        <f ca="1">Nov!AJ15</f>
        <v>0</v>
      </c>
      <c r="J20" s="22">
        <f ca="1">Des!AJ15</f>
        <v>0</v>
      </c>
      <c r="K20" s="23">
        <f t="shared" ref="K20:K59" ca="1" si="3">SUM(E20:J20)</f>
        <v>0</v>
      </c>
      <c r="L20" s="23"/>
      <c r="M20" s="21">
        <f ca="1">Jan!AJ15</f>
        <v>0</v>
      </c>
      <c r="N20" s="22">
        <f ca="1">Feb!AJ15</f>
        <v>0</v>
      </c>
      <c r="O20" s="21">
        <f ca="1">Mar!AJ15</f>
        <v>0</v>
      </c>
      <c r="P20" s="22">
        <f ca="1">Apr!AJ15</f>
        <v>0</v>
      </c>
      <c r="Q20" s="21">
        <f ca="1">Mei!AJ15</f>
        <v>0</v>
      </c>
      <c r="R20" s="22">
        <f ca="1">Jun!AJ15</f>
        <v>0</v>
      </c>
      <c r="S20" s="23">
        <f t="shared" ref="S20:S59" ca="1" si="4">SUM(M20:R20)</f>
        <v>0</v>
      </c>
      <c r="T20" s="24">
        <f t="shared" ref="T20:T59" ca="1" si="5">K20+S20</f>
        <v>0</v>
      </c>
      <c r="U20" s="26" t="s">
        <v>15</v>
      </c>
    </row>
    <row r="21" spans="1:21" s="6" customFormat="1" ht="14.25" customHeight="1" x14ac:dyDescent="0.25">
      <c r="A21" s="27">
        <v>2</v>
      </c>
      <c r="B21" s="25" t="e">
        <f t="shared" ca="1" si="0"/>
        <v>#REF!</v>
      </c>
      <c r="C21" s="52" t="e">
        <f t="shared" ca="1" si="1"/>
        <v>#REF!</v>
      </c>
      <c r="D21" s="25" t="e">
        <f t="shared" ca="1" si="2"/>
        <v>#REF!</v>
      </c>
      <c r="E21" s="21">
        <f ca="1">Jul!AJ16</f>
        <v>0</v>
      </c>
      <c r="F21" s="22">
        <f ca="1">Ags!AJ16</f>
        <v>0</v>
      </c>
      <c r="G21" s="21">
        <f ca="1">Sep!AJ16</f>
        <v>0</v>
      </c>
      <c r="H21" s="22">
        <f ca="1">Okt!AJ16</f>
        <v>0</v>
      </c>
      <c r="I21" s="21">
        <f ca="1">Nov!AJ16</f>
        <v>0</v>
      </c>
      <c r="J21" s="22">
        <f ca="1">Des!AJ16</f>
        <v>0</v>
      </c>
      <c r="K21" s="23">
        <f t="shared" ca="1" si="3"/>
        <v>0</v>
      </c>
      <c r="L21" s="23"/>
      <c r="M21" s="21">
        <f ca="1">Jan!AJ16</f>
        <v>0</v>
      </c>
      <c r="N21" s="22">
        <f ca="1">Feb!AJ16</f>
        <v>0</v>
      </c>
      <c r="O21" s="21">
        <f ca="1">Mar!AJ16</f>
        <v>0</v>
      </c>
      <c r="P21" s="22">
        <f ca="1">Apr!AJ16</f>
        <v>0</v>
      </c>
      <c r="Q21" s="21">
        <f ca="1">Mei!AJ16</f>
        <v>0</v>
      </c>
      <c r="R21" s="22">
        <f ca="1">Jun!AJ16</f>
        <v>0</v>
      </c>
      <c r="S21" s="23">
        <f t="shared" ca="1" si="4"/>
        <v>0</v>
      </c>
      <c r="T21" s="24">
        <f t="shared" ca="1" si="5"/>
        <v>0</v>
      </c>
    </row>
    <row r="22" spans="1:21" s="6" customFormat="1" ht="14.25" customHeight="1" x14ac:dyDescent="0.25">
      <c r="A22" s="27">
        <v>3</v>
      </c>
      <c r="B22" s="25" t="e">
        <f t="shared" ca="1" si="0"/>
        <v>#REF!</v>
      </c>
      <c r="C22" s="52" t="e">
        <f t="shared" ca="1" si="1"/>
        <v>#REF!</v>
      </c>
      <c r="D22" s="25" t="e">
        <f t="shared" ca="1" si="2"/>
        <v>#REF!</v>
      </c>
      <c r="E22" s="21">
        <f ca="1">Jul!AJ17</f>
        <v>0</v>
      </c>
      <c r="F22" s="22">
        <f ca="1">Ags!AJ17</f>
        <v>0</v>
      </c>
      <c r="G22" s="21">
        <f ca="1">Sep!AJ17</f>
        <v>0</v>
      </c>
      <c r="H22" s="22">
        <f ca="1">Okt!AJ17</f>
        <v>0</v>
      </c>
      <c r="I22" s="21">
        <f ca="1">Nov!AJ17</f>
        <v>0</v>
      </c>
      <c r="J22" s="22">
        <f ca="1">Des!AJ17</f>
        <v>0</v>
      </c>
      <c r="K22" s="23">
        <f t="shared" ca="1" si="3"/>
        <v>0</v>
      </c>
      <c r="L22" s="23"/>
      <c r="M22" s="21">
        <f ca="1">Jan!AJ17</f>
        <v>0</v>
      </c>
      <c r="N22" s="22">
        <f ca="1">Feb!AJ17</f>
        <v>0</v>
      </c>
      <c r="O22" s="21">
        <f ca="1">Mar!AJ17</f>
        <v>0</v>
      </c>
      <c r="P22" s="22">
        <f ca="1">Apr!AJ17</f>
        <v>0</v>
      </c>
      <c r="Q22" s="21">
        <f ca="1">Mei!AJ17</f>
        <v>0</v>
      </c>
      <c r="R22" s="22">
        <f ca="1">Jun!AJ17</f>
        <v>0</v>
      </c>
      <c r="S22" s="23">
        <f t="shared" ca="1" si="4"/>
        <v>0</v>
      </c>
      <c r="T22" s="24">
        <f t="shared" ca="1" si="5"/>
        <v>0</v>
      </c>
    </row>
    <row r="23" spans="1:21" s="6" customFormat="1" ht="14.25" customHeight="1" x14ac:dyDescent="0.25">
      <c r="A23" s="27">
        <v>4</v>
      </c>
      <c r="B23" s="25" t="e">
        <f t="shared" ca="1" si="0"/>
        <v>#REF!</v>
      </c>
      <c r="C23" s="52" t="e">
        <f t="shared" ca="1" si="1"/>
        <v>#REF!</v>
      </c>
      <c r="D23" s="25" t="e">
        <f t="shared" ca="1" si="2"/>
        <v>#REF!</v>
      </c>
      <c r="E23" s="21">
        <f ca="1">Jul!AJ18</f>
        <v>0</v>
      </c>
      <c r="F23" s="22">
        <f ca="1">Ags!AJ18</f>
        <v>0</v>
      </c>
      <c r="G23" s="21">
        <f ca="1">Sep!AJ18</f>
        <v>0</v>
      </c>
      <c r="H23" s="22">
        <f ca="1">Okt!AJ18</f>
        <v>0</v>
      </c>
      <c r="I23" s="21">
        <f ca="1">Nov!AJ18</f>
        <v>0</v>
      </c>
      <c r="J23" s="22">
        <f ca="1">Des!AJ18</f>
        <v>0</v>
      </c>
      <c r="K23" s="23">
        <f t="shared" ca="1" si="3"/>
        <v>0</v>
      </c>
      <c r="L23" s="23"/>
      <c r="M23" s="21">
        <f ca="1">Jan!AJ18</f>
        <v>0</v>
      </c>
      <c r="N23" s="22">
        <f ca="1">Feb!AJ18</f>
        <v>0</v>
      </c>
      <c r="O23" s="21">
        <f ca="1">Mar!AJ18</f>
        <v>0</v>
      </c>
      <c r="P23" s="22">
        <f ca="1">Apr!AJ18</f>
        <v>0</v>
      </c>
      <c r="Q23" s="21">
        <f ca="1">Mei!AJ18</f>
        <v>0</v>
      </c>
      <c r="R23" s="22">
        <f ca="1">Jun!AJ18</f>
        <v>0</v>
      </c>
      <c r="S23" s="23">
        <f t="shared" ca="1" si="4"/>
        <v>0</v>
      </c>
      <c r="T23" s="24">
        <f t="shared" ca="1" si="5"/>
        <v>0</v>
      </c>
    </row>
    <row r="24" spans="1:21" s="6" customFormat="1" ht="14.25" customHeight="1" x14ac:dyDescent="0.25">
      <c r="A24" s="27">
        <v>5</v>
      </c>
      <c r="B24" s="25" t="e">
        <f t="shared" ca="1" si="0"/>
        <v>#REF!</v>
      </c>
      <c r="C24" s="52" t="e">
        <f t="shared" ca="1" si="1"/>
        <v>#REF!</v>
      </c>
      <c r="D24" s="25" t="e">
        <f t="shared" ca="1" si="2"/>
        <v>#REF!</v>
      </c>
      <c r="E24" s="21">
        <f ca="1">Jul!AJ19</f>
        <v>0</v>
      </c>
      <c r="F24" s="22">
        <f ca="1">Ags!AJ19</f>
        <v>0</v>
      </c>
      <c r="G24" s="21">
        <f ca="1">Sep!AJ19</f>
        <v>0</v>
      </c>
      <c r="H24" s="22">
        <f ca="1">Okt!AJ19</f>
        <v>0</v>
      </c>
      <c r="I24" s="21">
        <f ca="1">Nov!AJ19</f>
        <v>0</v>
      </c>
      <c r="J24" s="22">
        <f ca="1">Des!AJ19</f>
        <v>0</v>
      </c>
      <c r="K24" s="23">
        <f t="shared" ca="1" si="3"/>
        <v>0</v>
      </c>
      <c r="L24" s="23"/>
      <c r="M24" s="21">
        <f ca="1">Jan!AJ19</f>
        <v>0</v>
      </c>
      <c r="N24" s="22">
        <f ca="1">Feb!AJ19</f>
        <v>0</v>
      </c>
      <c r="O24" s="21">
        <f ca="1">Mar!AJ19</f>
        <v>0</v>
      </c>
      <c r="P24" s="22">
        <f ca="1">Apr!AJ19</f>
        <v>0</v>
      </c>
      <c r="Q24" s="21">
        <f ca="1">Mei!AJ19</f>
        <v>0</v>
      </c>
      <c r="R24" s="22">
        <f ca="1">Jun!AJ19</f>
        <v>0</v>
      </c>
      <c r="S24" s="23">
        <f t="shared" ca="1" si="4"/>
        <v>0</v>
      </c>
      <c r="T24" s="24">
        <f t="shared" ca="1" si="5"/>
        <v>0</v>
      </c>
    </row>
    <row r="25" spans="1:21" s="6" customFormat="1" ht="14.25" customHeight="1" x14ac:dyDescent="0.25">
      <c r="A25" s="27">
        <v>6</v>
      </c>
      <c r="B25" s="25" t="e">
        <f t="shared" ca="1" si="0"/>
        <v>#REF!</v>
      </c>
      <c r="C25" s="52" t="e">
        <f t="shared" ca="1" si="1"/>
        <v>#REF!</v>
      </c>
      <c r="D25" s="25" t="e">
        <f t="shared" ca="1" si="2"/>
        <v>#REF!</v>
      </c>
      <c r="E25" s="21">
        <f ca="1">Jul!AJ20</f>
        <v>0</v>
      </c>
      <c r="F25" s="22">
        <f ca="1">Ags!AJ20</f>
        <v>0</v>
      </c>
      <c r="G25" s="21">
        <f ca="1">Sep!AJ20</f>
        <v>0</v>
      </c>
      <c r="H25" s="22">
        <f ca="1">Okt!AJ20</f>
        <v>0</v>
      </c>
      <c r="I25" s="21">
        <f ca="1">Nov!AJ20</f>
        <v>0</v>
      </c>
      <c r="J25" s="22">
        <f ca="1">Des!AJ20</f>
        <v>0</v>
      </c>
      <c r="K25" s="23">
        <f t="shared" ca="1" si="3"/>
        <v>0</v>
      </c>
      <c r="L25" s="23"/>
      <c r="M25" s="21">
        <f ca="1">Jan!AJ20</f>
        <v>0</v>
      </c>
      <c r="N25" s="22">
        <f ca="1">Feb!AJ20</f>
        <v>0</v>
      </c>
      <c r="O25" s="21">
        <f ca="1">Mar!AJ20</f>
        <v>0</v>
      </c>
      <c r="P25" s="22">
        <f ca="1">Apr!AJ20</f>
        <v>0</v>
      </c>
      <c r="Q25" s="21">
        <f ca="1">Mei!AJ20</f>
        <v>0</v>
      </c>
      <c r="R25" s="22">
        <f ca="1">Jun!AJ20</f>
        <v>0</v>
      </c>
      <c r="S25" s="23">
        <f t="shared" ca="1" si="4"/>
        <v>0</v>
      </c>
      <c r="T25" s="24">
        <f t="shared" ca="1" si="5"/>
        <v>0</v>
      </c>
    </row>
    <row r="26" spans="1:21" s="6" customFormat="1" ht="14.25" customHeight="1" x14ac:dyDescent="0.25">
      <c r="A26" s="27">
        <v>7</v>
      </c>
      <c r="B26" s="25" t="e">
        <f t="shared" ca="1" si="0"/>
        <v>#REF!</v>
      </c>
      <c r="C26" s="52" t="e">
        <f t="shared" ca="1" si="1"/>
        <v>#REF!</v>
      </c>
      <c r="D26" s="25" t="e">
        <f t="shared" ca="1" si="2"/>
        <v>#REF!</v>
      </c>
      <c r="E26" s="21">
        <f ca="1">Jul!AJ21</f>
        <v>0</v>
      </c>
      <c r="F26" s="22">
        <f ca="1">Ags!AJ21</f>
        <v>0</v>
      </c>
      <c r="G26" s="21">
        <f ca="1">Sep!AJ21</f>
        <v>0</v>
      </c>
      <c r="H26" s="22">
        <f ca="1">Okt!AJ21</f>
        <v>0</v>
      </c>
      <c r="I26" s="21">
        <f ca="1">Nov!AJ21</f>
        <v>0</v>
      </c>
      <c r="J26" s="22">
        <f ca="1">Des!AJ21</f>
        <v>0</v>
      </c>
      <c r="K26" s="23">
        <f t="shared" ca="1" si="3"/>
        <v>0</v>
      </c>
      <c r="L26" s="23"/>
      <c r="M26" s="21">
        <f ca="1">Jan!AJ21</f>
        <v>0</v>
      </c>
      <c r="N26" s="22">
        <f ca="1">Feb!AJ21</f>
        <v>0</v>
      </c>
      <c r="O26" s="21">
        <f ca="1">Mar!AJ21</f>
        <v>0</v>
      </c>
      <c r="P26" s="22">
        <f ca="1">Apr!AJ21</f>
        <v>0</v>
      </c>
      <c r="Q26" s="21">
        <f ca="1">Mei!AJ21</f>
        <v>0</v>
      </c>
      <c r="R26" s="22">
        <f ca="1">Jun!AJ21</f>
        <v>0</v>
      </c>
      <c r="S26" s="23">
        <f t="shared" ca="1" si="4"/>
        <v>0</v>
      </c>
      <c r="T26" s="24">
        <f t="shared" ca="1" si="5"/>
        <v>0</v>
      </c>
    </row>
    <row r="27" spans="1:21" s="6" customFormat="1" ht="14.25" customHeight="1" x14ac:dyDescent="0.25">
      <c r="A27" s="27">
        <v>8</v>
      </c>
      <c r="B27" s="25" t="e">
        <f t="shared" ca="1" si="0"/>
        <v>#REF!</v>
      </c>
      <c r="C27" s="52" t="e">
        <f t="shared" ca="1" si="1"/>
        <v>#REF!</v>
      </c>
      <c r="D27" s="25" t="e">
        <f t="shared" ca="1" si="2"/>
        <v>#REF!</v>
      </c>
      <c r="E27" s="21">
        <f ca="1">Jul!AJ22</f>
        <v>0</v>
      </c>
      <c r="F27" s="22">
        <f ca="1">Ags!AJ22</f>
        <v>0</v>
      </c>
      <c r="G27" s="21">
        <f ca="1">Sep!AJ22</f>
        <v>0</v>
      </c>
      <c r="H27" s="22">
        <f ca="1">Okt!AJ22</f>
        <v>0</v>
      </c>
      <c r="I27" s="21">
        <f ca="1">Nov!AJ22</f>
        <v>0</v>
      </c>
      <c r="J27" s="22">
        <f ca="1">Des!AJ22</f>
        <v>0</v>
      </c>
      <c r="K27" s="23">
        <f t="shared" ca="1" si="3"/>
        <v>0</v>
      </c>
      <c r="L27" s="23"/>
      <c r="M27" s="21">
        <f ca="1">Jan!AJ22</f>
        <v>0</v>
      </c>
      <c r="N27" s="22">
        <f ca="1">Feb!AJ22</f>
        <v>0</v>
      </c>
      <c r="O27" s="21">
        <f ca="1">Mar!AJ22</f>
        <v>0</v>
      </c>
      <c r="P27" s="22">
        <f ca="1">Apr!AJ22</f>
        <v>0</v>
      </c>
      <c r="Q27" s="21">
        <f ca="1">Mei!AJ22</f>
        <v>0</v>
      </c>
      <c r="R27" s="22">
        <f ca="1">Jun!AJ22</f>
        <v>0</v>
      </c>
      <c r="S27" s="23">
        <f t="shared" ca="1" si="4"/>
        <v>0</v>
      </c>
      <c r="T27" s="24">
        <f t="shared" ca="1" si="5"/>
        <v>0</v>
      </c>
    </row>
    <row r="28" spans="1:21" s="6" customFormat="1" ht="14.25" customHeight="1" x14ac:dyDescent="0.25">
      <c r="A28" s="27">
        <v>9</v>
      </c>
      <c r="B28" s="25" t="e">
        <f t="shared" ca="1" si="0"/>
        <v>#REF!</v>
      </c>
      <c r="C28" s="52" t="e">
        <f t="shared" ca="1" si="1"/>
        <v>#REF!</v>
      </c>
      <c r="D28" s="25" t="e">
        <f t="shared" ca="1" si="2"/>
        <v>#REF!</v>
      </c>
      <c r="E28" s="21">
        <f ca="1">Jul!AJ23</f>
        <v>0</v>
      </c>
      <c r="F28" s="22">
        <f ca="1">Ags!AJ23</f>
        <v>0</v>
      </c>
      <c r="G28" s="21">
        <f ca="1">Sep!AJ23</f>
        <v>0</v>
      </c>
      <c r="H28" s="22">
        <f ca="1">Okt!AJ23</f>
        <v>0</v>
      </c>
      <c r="I28" s="21">
        <f ca="1">Nov!AJ23</f>
        <v>0</v>
      </c>
      <c r="J28" s="22">
        <f ca="1">Des!AJ23</f>
        <v>0</v>
      </c>
      <c r="K28" s="23">
        <f t="shared" ca="1" si="3"/>
        <v>0</v>
      </c>
      <c r="L28" s="23"/>
      <c r="M28" s="21">
        <f ca="1">Jan!AJ23</f>
        <v>0</v>
      </c>
      <c r="N28" s="22">
        <f ca="1">Feb!AJ23</f>
        <v>0</v>
      </c>
      <c r="O28" s="21">
        <f ca="1">Mar!AJ23</f>
        <v>0</v>
      </c>
      <c r="P28" s="22">
        <f ca="1">Apr!AJ23</f>
        <v>0</v>
      </c>
      <c r="Q28" s="21">
        <f ca="1">Mei!AJ23</f>
        <v>0</v>
      </c>
      <c r="R28" s="22">
        <f ca="1">Jun!AJ23</f>
        <v>0</v>
      </c>
      <c r="S28" s="23">
        <f t="shared" ca="1" si="4"/>
        <v>0</v>
      </c>
      <c r="T28" s="24">
        <f t="shared" ca="1" si="5"/>
        <v>0</v>
      </c>
    </row>
    <row r="29" spans="1:21" s="6" customFormat="1" ht="14.25" customHeight="1" x14ac:dyDescent="0.25">
      <c r="A29" s="27">
        <v>10</v>
      </c>
      <c r="B29" s="25" t="e">
        <f t="shared" ca="1" si="0"/>
        <v>#REF!</v>
      </c>
      <c r="C29" s="52" t="e">
        <f t="shared" ca="1" si="1"/>
        <v>#REF!</v>
      </c>
      <c r="D29" s="25" t="e">
        <f t="shared" ca="1" si="2"/>
        <v>#REF!</v>
      </c>
      <c r="E29" s="21">
        <f ca="1">Jul!AJ24</f>
        <v>0</v>
      </c>
      <c r="F29" s="22">
        <f ca="1">Ags!AJ24</f>
        <v>0</v>
      </c>
      <c r="G29" s="21">
        <f ca="1">Sep!AJ24</f>
        <v>0</v>
      </c>
      <c r="H29" s="22">
        <f ca="1">Okt!AJ24</f>
        <v>0</v>
      </c>
      <c r="I29" s="21">
        <f ca="1">Nov!AJ24</f>
        <v>0</v>
      </c>
      <c r="J29" s="22">
        <f ca="1">Des!AJ24</f>
        <v>0</v>
      </c>
      <c r="K29" s="23">
        <f t="shared" ca="1" si="3"/>
        <v>0</v>
      </c>
      <c r="L29" s="23"/>
      <c r="M29" s="21">
        <f ca="1">Jan!AJ24</f>
        <v>0</v>
      </c>
      <c r="N29" s="22">
        <f ca="1">Feb!AJ24</f>
        <v>0</v>
      </c>
      <c r="O29" s="21">
        <f ca="1">Mar!AJ24</f>
        <v>0</v>
      </c>
      <c r="P29" s="22">
        <f ca="1">Apr!AJ24</f>
        <v>0</v>
      </c>
      <c r="Q29" s="21">
        <f ca="1">Mei!AJ24</f>
        <v>0</v>
      </c>
      <c r="R29" s="22">
        <f ca="1">Jun!AJ24</f>
        <v>0</v>
      </c>
      <c r="S29" s="23">
        <f t="shared" ca="1" si="4"/>
        <v>0</v>
      </c>
      <c r="T29" s="24">
        <f t="shared" ca="1" si="5"/>
        <v>0</v>
      </c>
    </row>
    <row r="30" spans="1:21" s="6" customFormat="1" ht="14.25" customHeight="1" x14ac:dyDescent="0.25">
      <c r="A30" s="27">
        <v>11</v>
      </c>
      <c r="B30" s="25" t="e">
        <f t="shared" ca="1" si="0"/>
        <v>#REF!</v>
      </c>
      <c r="C30" s="52" t="e">
        <f t="shared" ca="1" si="1"/>
        <v>#REF!</v>
      </c>
      <c r="D30" s="25" t="e">
        <f t="shared" ca="1" si="2"/>
        <v>#REF!</v>
      </c>
      <c r="E30" s="21">
        <f ca="1">Jul!AJ25</f>
        <v>0</v>
      </c>
      <c r="F30" s="22">
        <f ca="1">Ags!AJ25</f>
        <v>0</v>
      </c>
      <c r="G30" s="21">
        <f ca="1">Sep!AJ25</f>
        <v>0</v>
      </c>
      <c r="H30" s="22">
        <f ca="1">Okt!AJ25</f>
        <v>0</v>
      </c>
      <c r="I30" s="21">
        <f ca="1">Nov!AJ25</f>
        <v>0</v>
      </c>
      <c r="J30" s="22">
        <f ca="1">Des!AJ25</f>
        <v>0</v>
      </c>
      <c r="K30" s="23">
        <f t="shared" ca="1" si="3"/>
        <v>0</v>
      </c>
      <c r="L30" s="23"/>
      <c r="M30" s="21">
        <f ca="1">Jan!AJ25</f>
        <v>0</v>
      </c>
      <c r="N30" s="22">
        <f ca="1">Feb!AJ25</f>
        <v>0</v>
      </c>
      <c r="O30" s="21">
        <f ca="1">Mar!AJ25</f>
        <v>0</v>
      </c>
      <c r="P30" s="22">
        <f ca="1">Apr!AJ25</f>
        <v>0</v>
      </c>
      <c r="Q30" s="21">
        <f ca="1">Mei!AJ25</f>
        <v>0</v>
      </c>
      <c r="R30" s="22">
        <f ca="1">Jun!AJ25</f>
        <v>0</v>
      </c>
      <c r="S30" s="23">
        <f t="shared" ca="1" si="4"/>
        <v>0</v>
      </c>
      <c r="T30" s="24">
        <f t="shared" ca="1" si="5"/>
        <v>0</v>
      </c>
    </row>
    <row r="31" spans="1:21" s="6" customFormat="1" ht="14.25" customHeight="1" x14ac:dyDescent="0.25">
      <c r="A31" s="27">
        <v>12</v>
      </c>
      <c r="B31" s="25" t="e">
        <f t="shared" ca="1" si="0"/>
        <v>#REF!</v>
      </c>
      <c r="C31" s="52" t="e">
        <f t="shared" ca="1" si="1"/>
        <v>#REF!</v>
      </c>
      <c r="D31" s="25" t="e">
        <f t="shared" ca="1" si="2"/>
        <v>#REF!</v>
      </c>
      <c r="E31" s="21">
        <f ca="1">Jul!AJ26</f>
        <v>0</v>
      </c>
      <c r="F31" s="22">
        <f ca="1">Ags!AJ26</f>
        <v>0</v>
      </c>
      <c r="G31" s="21">
        <f ca="1">Sep!AJ26</f>
        <v>0</v>
      </c>
      <c r="H31" s="22">
        <f ca="1">Okt!AJ26</f>
        <v>0</v>
      </c>
      <c r="I31" s="21">
        <f ca="1">Nov!AJ26</f>
        <v>0</v>
      </c>
      <c r="J31" s="22">
        <f ca="1">Des!AJ26</f>
        <v>0</v>
      </c>
      <c r="K31" s="23">
        <f t="shared" ca="1" si="3"/>
        <v>0</v>
      </c>
      <c r="L31" s="23"/>
      <c r="M31" s="21">
        <f ca="1">Jan!AJ26</f>
        <v>0</v>
      </c>
      <c r="N31" s="22">
        <f ca="1">Feb!AJ26</f>
        <v>0</v>
      </c>
      <c r="O31" s="21">
        <f ca="1">Mar!AJ26</f>
        <v>0</v>
      </c>
      <c r="P31" s="22">
        <f ca="1">Apr!AJ26</f>
        <v>0</v>
      </c>
      <c r="Q31" s="21">
        <f ca="1">Mei!AJ26</f>
        <v>0</v>
      </c>
      <c r="R31" s="22">
        <f ca="1">Jun!AJ26</f>
        <v>0</v>
      </c>
      <c r="S31" s="23">
        <f t="shared" ca="1" si="4"/>
        <v>0</v>
      </c>
      <c r="T31" s="24">
        <f t="shared" ca="1" si="5"/>
        <v>0</v>
      </c>
    </row>
    <row r="32" spans="1:21" s="6" customFormat="1" ht="14.25" customHeight="1" x14ac:dyDescent="0.25">
      <c r="A32" s="27">
        <v>13</v>
      </c>
      <c r="B32" s="25" t="e">
        <f t="shared" ca="1" si="0"/>
        <v>#REF!</v>
      </c>
      <c r="C32" s="52" t="e">
        <f t="shared" ca="1" si="1"/>
        <v>#REF!</v>
      </c>
      <c r="D32" s="25" t="e">
        <f t="shared" ca="1" si="2"/>
        <v>#REF!</v>
      </c>
      <c r="E32" s="21">
        <f ca="1">Jul!AJ27</f>
        <v>0</v>
      </c>
      <c r="F32" s="22">
        <f ca="1">Ags!AJ27</f>
        <v>0</v>
      </c>
      <c r="G32" s="21">
        <f ca="1">Sep!AJ27</f>
        <v>0</v>
      </c>
      <c r="H32" s="22">
        <f ca="1">Okt!AJ27</f>
        <v>0</v>
      </c>
      <c r="I32" s="21">
        <f ca="1">Nov!AJ27</f>
        <v>0</v>
      </c>
      <c r="J32" s="22">
        <f ca="1">Des!AJ27</f>
        <v>0</v>
      </c>
      <c r="K32" s="23">
        <f t="shared" ca="1" si="3"/>
        <v>0</v>
      </c>
      <c r="L32" s="23"/>
      <c r="M32" s="21">
        <f ca="1">Jan!AJ27</f>
        <v>0</v>
      </c>
      <c r="N32" s="22">
        <f ca="1">Feb!AJ27</f>
        <v>0</v>
      </c>
      <c r="O32" s="21">
        <f ca="1">Mar!AJ27</f>
        <v>0</v>
      </c>
      <c r="P32" s="22">
        <f ca="1">Apr!AJ27</f>
        <v>0</v>
      </c>
      <c r="Q32" s="21">
        <f ca="1">Mei!AJ27</f>
        <v>0</v>
      </c>
      <c r="R32" s="22">
        <f ca="1">Jun!AJ27</f>
        <v>0</v>
      </c>
      <c r="S32" s="23">
        <f t="shared" ca="1" si="4"/>
        <v>0</v>
      </c>
      <c r="T32" s="24">
        <f t="shared" ca="1" si="5"/>
        <v>0</v>
      </c>
    </row>
    <row r="33" spans="1:20" s="6" customFormat="1" ht="14.25" customHeight="1" x14ac:dyDescent="0.25">
      <c r="A33" s="27">
        <v>14</v>
      </c>
      <c r="B33" s="25" t="e">
        <f t="shared" ca="1" si="0"/>
        <v>#REF!</v>
      </c>
      <c r="C33" s="52" t="e">
        <f t="shared" ca="1" si="1"/>
        <v>#REF!</v>
      </c>
      <c r="D33" s="25" t="e">
        <f t="shared" ca="1" si="2"/>
        <v>#REF!</v>
      </c>
      <c r="E33" s="21">
        <f ca="1">Jul!AJ28</f>
        <v>0</v>
      </c>
      <c r="F33" s="22">
        <f ca="1">Ags!AJ28</f>
        <v>0</v>
      </c>
      <c r="G33" s="21">
        <f ca="1">Sep!AJ28</f>
        <v>0</v>
      </c>
      <c r="H33" s="22">
        <f ca="1">Okt!AJ28</f>
        <v>0</v>
      </c>
      <c r="I33" s="21">
        <f ca="1">Nov!AJ28</f>
        <v>0</v>
      </c>
      <c r="J33" s="22">
        <f ca="1">Des!AJ28</f>
        <v>0</v>
      </c>
      <c r="K33" s="23">
        <f t="shared" ca="1" si="3"/>
        <v>0</v>
      </c>
      <c r="L33" s="23"/>
      <c r="M33" s="21">
        <f ca="1">Jan!AJ28</f>
        <v>0</v>
      </c>
      <c r="N33" s="22">
        <f ca="1">Feb!AJ28</f>
        <v>0</v>
      </c>
      <c r="O33" s="21">
        <f ca="1">Mar!AJ28</f>
        <v>0</v>
      </c>
      <c r="P33" s="22">
        <f ca="1">Apr!AJ28</f>
        <v>0</v>
      </c>
      <c r="Q33" s="21">
        <f ca="1">Mei!AJ28</f>
        <v>0</v>
      </c>
      <c r="R33" s="22">
        <f ca="1">Jun!AJ28</f>
        <v>0</v>
      </c>
      <c r="S33" s="23">
        <f t="shared" ca="1" si="4"/>
        <v>0</v>
      </c>
      <c r="T33" s="24">
        <f t="shared" ca="1" si="5"/>
        <v>0</v>
      </c>
    </row>
    <row r="34" spans="1:20" s="6" customFormat="1" ht="14.25" customHeight="1" x14ac:dyDescent="0.25">
      <c r="A34" s="27">
        <v>15</v>
      </c>
      <c r="B34" s="25" t="e">
        <f t="shared" ca="1" si="0"/>
        <v>#REF!</v>
      </c>
      <c r="C34" s="52" t="e">
        <f t="shared" ca="1" si="1"/>
        <v>#REF!</v>
      </c>
      <c r="D34" s="25" t="e">
        <f t="shared" ca="1" si="2"/>
        <v>#REF!</v>
      </c>
      <c r="E34" s="21">
        <f ca="1">Jul!AJ29</f>
        <v>0</v>
      </c>
      <c r="F34" s="22">
        <f ca="1">Ags!AJ29</f>
        <v>0</v>
      </c>
      <c r="G34" s="21">
        <f ca="1">Sep!AJ29</f>
        <v>0</v>
      </c>
      <c r="H34" s="22">
        <f ca="1">Okt!AJ29</f>
        <v>0</v>
      </c>
      <c r="I34" s="21">
        <f ca="1">Nov!AJ29</f>
        <v>0</v>
      </c>
      <c r="J34" s="22">
        <f ca="1">Des!AJ29</f>
        <v>0</v>
      </c>
      <c r="K34" s="23">
        <f t="shared" ca="1" si="3"/>
        <v>0</v>
      </c>
      <c r="L34" s="23"/>
      <c r="M34" s="21">
        <f ca="1">Jan!AJ29</f>
        <v>0</v>
      </c>
      <c r="N34" s="22">
        <f ca="1">Feb!AJ29</f>
        <v>0</v>
      </c>
      <c r="O34" s="21">
        <f ca="1">Mar!AJ29</f>
        <v>0</v>
      </c>
      <c r="P34" s="22">
        <f ca="1">Apr!AJ29</f>
        <v>0</v>
      </c>
      <c r="Q34" s="21">
        <f ca="1">Mei!AJ29</f>
        <v>0</v>
      </c>
      <c r="R34" s="22">
        <f ca="1">Jun!AJ29</f>
        <v>0</v>
      </c>
      <c r="S34" s="23">
        <f t="shared" ca="1" si="4"/>
        <v>0</v>
      </c>
      <c r="T34" s="24">
        <f t="shared" ca="1" si="5"/>
        <v>0</v>
      </c>
    </row>
    <row r="35" spans="1:20" s="6" customFormat="1" ht="14.25" customHeight="1" x14ac:dyDescent="0.25">
      <c r="A35" s="27">
        <v>16</v>
      </c>
      <c r="B35" s="25" t="e">
        <f t="shared" ca="1" si="0"/>
        <v>#REF!</v>
      </c>
      <c r="C35" s="52" t="e">
        <f t="shared" ca="1" si="1"/>
        <v>#REF!</v>
      </c>
      <c r="D35" s="25" t="e">
        <f t="shared" ca="1" si="2"/>
        <v>#REF!</v>
      </c>
      <c r="E35" s="21">
        <f ca="1">Jul!AJ30</f>
        <v>0</v>
      </c>
      <c r="F35" s="22">
        <f ca="1">Ags!AJ30</f>
        <v>0</v>
      </c>
      <c r="G35" s="21">
        <f ca="1">Sep!AJ30</f>
        <v>0</v>
      </c>
      <c r="H35" s="22">
        <f ca="1">Okt!AJ30</f>
        <v>0</v>
      </c>
      <c r="I35" s="21">
        <f ca="1">Nov!AJ30</f>
        <v>0</v>
      </c>
      <c r="J35" s="22">
        <f ca="1">Des!AJ30</f>
        <v>0</v>
      </c>
      <c r="K35" s="23">
        <f t="shared" ca="1" si="3"/>
        <v>0</v>
      </c>
      <c r="L35" s="23"/>
      <c r="M35" s="21">
        <f ca="1">Jan!AJ30</f>
        <v>0</v>
      </c>
      <c r="N35" s="22">
        <f ca="1">Feb!AJ30</f>
        <v>0</v>
      </c>
      <c r="O35" s="21">
        <f ca="1">Mar!AJ30</f>
        <v>0</v>
      </c>
      <c r="P35" s="22">
        <f ca="1">Apr!AJ30</f>
        <v>0</v>
      </c>
      <c r="Q35" s="21">
        <f ca="1">Mei!AJ30</f>
        <v>0</v>
      </c>
      <c r="R35" s="22">
        <f ca="1">Jun!AJ30</f>
        <v>0</v>
      </c>
      <c r="S35" s="23">
        <f t="shared" ca="1" si="4"/>
        <v>0</v>
      </c>
      <c r="T35" s="24">
        <f t="shared" ca="1" si="5"/>
        <v>0</v>
      </c>
    </row>
    <row r="36" spans="1:20" s="6" customFormat="1" ht="14.25" customHeight="1" x14ac:dyDescent="0.25">
      <c r="A36" s="27">
        <v>17</v>
      </c>
      <c r="B36" s="25" t="e">
        <f t="shared" ca="1" si="0"/>
        <v>#REF!</v>
      </c>
      <c r="C36" s="52" t="e">
        <f t="shared" ca="1" si="1"/>
        <v>#REF!</v>
      </c>
      <c r="D36" s="25" t="e">
        <f t="shared" ca="1" si="2"/>
        <v>#REF!</v>
      </c>
      <c r="E36" s="21">
        <f ca="1">Jul!AJ31</f>
        <v>0</v>
      </c>
      <c r="F36" s="22">
        <f ca="1">Ags!AJ31</f>
        <v>0</v>
      </c>
      <c r="G36" s="21">
        <f ca="1">Sep!AJ31</f>
        <v>0</v>
      </c>
      <c r="H36" s="22">
        <f ca="1">Okt!AJ31</f>
        <v>0</v>
      </c>
      <c r="I36" s="21">
        <f ca="1">Nov!AJ31</f>
        <v>0</v>
      </c>
      <c r="J36" s="22">
        <f ca="1">Des!AJ31</f>
        <v>0</v>
      </c>
      <c r="K36" s="23">
        <f t="shared" ca="1" si="3"/>
        <v>0</v>
      </c>
      <c r="L36" s="23"/>
      <c r="M36" s="21">
        <f ca="1">Jan!AJ31</f>
        <v>0</v>
      </c>
      <c r="N36" s="22">
        <f ca="1">Feb!AJ31</f>
        <v>0</v>
      </c>
      <c r="O36" s="21">
        <f ca="1">Mar!AJ31</f>
        <v>0</v>
      </c>
      <c r="P36" s="22">
        <f ca="1">Apr!AJ31</f>
        <v>0</v>
      </c>
      <c r="Q36" s="21">
        <f ca="1">Mei!AJ31</f>
        <v>0</v>
      </c>
      <c r="R36" s="22">
        <f ca="1">Jun!AJ31</f>
        <v>0</v>
      </c>
      <c r="S36" s="23">
        <f t="shared" ca="1" si="4"/>
        <v>0</v>
      </c>
      <c r="T36" s="24">
        <f t="shared" ca="1" si="5"/>
        <v>0</v>
      </c>
    </row>
    <row r="37" spans="1:20" s="6" customFormat="1" ht="14.25" customHeight="1" x14ac:dyDescent="0.25">
      <c r="A37" s="27">
        <v>18</v>
      </c>
      <c r="B37" s="25" t="e">
        <f t="shared" ca="1" si="0"/>
        <v>#REF!</v>
      </c>
      <c r="C37" s="52" t="e">
        <f t="shared" ca="1" si="1"/>
        <v>#REF!</v>
      </c>
      <c r="D37" s="25" t="e">
        <f t="shared" ca="1" si="2"/>
        <v>#REF!</v>
      </c>
      <c r="E37" s="21">
        <f ca="1">Jul!AJ32</f>
        <v>0</v>
      </c>
      <c r="F37" s="22">
        <f ca="1">Ags!AJ32</f>
        <v>0</v>
      </c>
      <c r="G37" s="21">
        <f ca="1">Sep!AJ32</f>
        <v>0</v>
      </c>
      <c r="H37" s="22">
        <f ca="1">Okt!AJ32</f>
        <v>0</v>
      </c>
      <c r="I37" s="21">
        <f ca="1">Nov!AJ32</f>
        <v>0</v>
      </c>
      <c r="J37" s="22">
        <f ca="1">Des!AJ32</f>
        <v>0</v>
      </c>
      <c r="K37" s="23">
        <f t="shared" ca="1" si="3"/>
        <v>0</v>
      </c>
      <c r="L37" s="23"/>
      <c r="M37" s="21">
        <f ca="1">Jan!AJ32</f>
        <v>0</v>
      </c>
      <c r="N37" s="22">
        <f ca="1">Feb!AJ32</f>
        <v>0</v>
      </c>
      <c r="O37" s="21">
        <f ca="1">Mar!AJ32</f>
        <v>0</v>
      </c>
      <c r="P37" s="22">
        <f ca="1">Apr!AJ32</f>
        <v>0</v>
      </c>
      <c r="Q37" s="21">
        <f ca="1">Mei!AJ32</f>
        <v>0</v>
      </c>
      <c r="R37" s="22">
        <f ca="1">Jun!AJ32</f>
        <v>0</v>
      </c>
      <c r="S37" s="23">
        <f t="shared" ca="1" si="4"/>
        <v>0</v>
      </c>
      <c r="T37" s="24">
        <f t="shared" ca="1" si="5"/>
        <v>0</v>
      </c>
    </row>
    <row r="38" spans="1:20" s="6" customFormat="1" ht="14.25" customHeight="1" x14ac:dyDescent="0.25">
      <c r="A38" s="27">
        <v>19</v>
      </c>
      <c r="B38" s="25" t="e">
        <f t="shared" ca="1" si="0"/>
        <v>#REF!</v>
      </c>
      <c r="C38" s="52" t="e">
        <f t="shared" ca="1" si="1"/>
        <v>#REF!</v>
      </c>
      <c r="D38" s="25" t="e">
        <f t="shared" ca="1" si="2"/>
        <v>#REF!</v>
      </c>
      <c r="E38" s="21">
        <f ca="1">Jul!AJ33</f>
        <v>0</v>
      </c>
      <c r="F38" s="22">
        <f ca="1">Ags!AJ33</f>
        <v>0</v>
      </c>
      <c r="G38" s="21">
        <f ca="1">Sep!AJ33</f>
        <v>0</v>
      </c>
      <c r="H38" s="22">
        <f ca="1">Okt!AJ33</f>
        <v>0</v>
      </c>
      <c r="I38" s="21">
        <f ca="1">Nov!AJ33</f>
        <v>0</v>
      </c>
      <c r="J38" s="22">
        <f ca="1">Des!AJ33</f>
        <v>0</v>
      </c>
      <c r="K38" s="23">
        <f t="shared" ca="1" si="3"/>
        <v>0</v>
      </c>
      <c r="L38" s="23"/>
      <c r="M38" s="21">
        <f ca="1">Jan!AJ33</f>
        <v>0</v>
      </c>
      <c r="N38" s="22">
        <f ca="1">Feb!AJ33</f>
        <v>0</v>
      </c>
      <c r="O38" s="21">
        <f ca="1">Mar!AJ33</f>
        <v>0</v>
      </c>
      <c r="P38" s="22">
        <f ca="1">Apr!AJ33</f>
        <v>0</v>
      </c>
      <c r="Q38" s="21">
        <f ca="1">Mei!AJ33</f>
        <v>0</v>
      </c>
      <c r="R38" s="22">
        <f ca="1">Jun!AJ33</f>
        <v>0</v>
      </c>
      <c r="S38" s="23">
        <f t="shared" ca="1" si="4"/>
        <v>0</v>
      </c>
      <c r="T38" s="24">
        <f t="shared" ca="1" si="5"/>
        <v>0</v>
      </c>
    </row>
    <row r="39" spans="1:20" s="6" customFormat="1" ht="14.25" customHeight="1" x14ac:dyDescent="0.25">
      <c r="A39" s="27">
        <v>20</v>
      </c>
      <c r="B39" s="25" t="e">
        <f t="shared" ca="1" si="0"/>
        <v>#REF!</v>
      </c>
      <c r="C39" s="52" t="e">
        <f t="shared" ca="1" si="1"/>
        <v>#REF!</v>
      </c>
      <c r="D39" s="25" t="e">
        <f t="shared" ca="1" si="2"/>
        <v>#REF!</v>
      </c>
      <c r="E39" s="21">
        <f ca="1">Jul!AJ34</f>
        <v>0</v>
      </c>
      <c r="F39" s="22">
        <f ca="1">Ags!AJ34</f>
        <v>0</v>
      </c>
      <c r="G39" s="21">
        <f ca="1">Sep!AJ34</f>
        <v>0</v>
      </c>
      <c r="H39" s="22">
        <f ca="1">Okt!AJ34</f>
        <v>0</v>
      </c>
      <c r="I39" s="21">
        <f ca="1">Nov!AJ34</f>
        <v>0</v>
      </c>
      <c r="J39" s="22">
        <f ca="1">Des!AJ34</f>
        <v>0</v>
      </c>
      <c r="K39" s="23">
        <f t="shared" ca="1" si="3"/>
        <v>0</v>
      </c>
      <c r="L39" s="23"/>
      <c r="M39" s="21">
        <f ca="1">Jan!AJ34</f>
        <v>0</v>
      </c>
      <c r="N39" s="22">
        <f ca="1">Feb!AJ34</f>
        <v>0</v>
      </c>
      <c r="O39" s="21">
        <f ca="1">Mar!AJ34</f>
        <v>0</v>
      </c>
      <c r="P39" s="22">
        <f ca="1">Apr!AJ34</f>
        <v>0</v>
      </c>
      <c r="Q39" s="21">
        <f ca="1">Mei!AJ34</f>
        <v>0</v>
      </c>
      <c r="R39" s="22">
        <f ca="1">Jun!AJ34</f>
        <v>0</v>
      </c>
      <c r="S39" s="23">
        <f t="shared" ca="1" si="4"/>
        <v>0</v>
      </c>
      <c r="T39" s="24">
        <f t="shared" ca="1" si="5"/>
        <v>0</v>
      </c>
    </row>
    <row r="40" spans="1:20" s="6" customFormat="1" ht="14.25" customHeight="1" x14ac:dyDescent="0.25">
      <c r="A40" s="27">
        <v>21</v>
      </c>
      <c r="B40" s="25" t="e">
        <f t="shared" ca="1" si="0"/>
        <v>#REF!</v>
      </c>
      <c r="C40" s="52" t="e">
        <f t="shared" ca="1" si="1"/>
        <v>#REF!</v>
      </c>
      <c r="D40" s="25" t="e">
        <f t="shared" ca="1" si="2"/>
        <v>#REF!</v>
      </c>
      <c r="E40" s="21">
        <f ca="1">Jul!AJ35</f>
        <v>0</v>
      </c>
      <c r="F40" s="22">
        <f ca="1">Ags!AJ35</f>
        <v>0</v>
      </c>
      <c r="G40" s="21">
        <f ca="1">Sep!AJ35</f>
        <v>0</v>
      </c>
      <c r="H40" s="22">
        <f ca="1">Okt!AJ35</f>
        <v>0</v>
      </c>
      <c r="I40" s="21">
        <f ca="1">Nov!AJ35</f>
        <v>0</v>
      </c>
      <c r="J40" s="22">
        <f ca="1">Des!AJ35</f>
        <v>0</v>
      </c>
      <c r="K40" s="23">
        <f t="shared" ca="1" si="3"/>
        <v>0</v>
      </c>
      <c r="L40" s="23"/>
      <c r="M40" s="21">
        <f ca="1">Jan!AJ35</f>
        <v>0</v>
      </c>
      <c r="N40" s="22">
        <f ca="1">Feb!AJ35</f>
        <v>0</v>
      </c>
      <c r="O40" s="21">
        <f ca="1">Mar!AJ35</f>
        <v>0</v>
      </c>
      <c r="P40" s="22">
        <f ca="1">Apr!AJ35</f>
        <v>0</v>
      </c>
      <c r="Q40" s="21">
        <f ca="1">Mei!AJ35</f>
        <v>0</v>
      </c>
      <c r="R40" s="22">
        <f ca="1">Jun!AJ35</f>
        <v>0</v>
      </c>
      <c r="S40" s="23">
        <f t="shared" ca="1" si="4"/>
        <v>0</v>
      </c>
      <c r="T40" s="24">
        <f t="shared" ca="1" si="5"/>
        <v>0</v>
      </c>
    </row>
    <row r="41" spans="1:20" s="6" customFormat="1" ht="14.25" customHeight="1" x14ac:dyDescent="0.25">
      <c r="A41" s="27">
        <v>22</v>
      </c>
      <c r="B41" s="25" t="e">
        <f t="shared" ca="1" si="0"/>
        <v>#REF!</v>
      </c>
      <c r="C41" s="52" t="e">
        <f t="shared" ca="1" si="1"/>
        <v>#REF!</v>
      </c>
      <c r="D41" s="25" t="e">
        <f t="shared" ca="1" si="2"/>
        <v>#REF!</v>
      </c>
      <c r="E41" s="21">
        <f ca="1">Jul!AJ36</f>
        <v>0</v>
      </c>
      <c r="F41" s="22">
        <f ca="1">Ags!AJ36</f>
        <v>0</v>
      </c>
      <c r="G41" s="21">
        <f ca="1">Sep!AJ36</f>
        <v>0</v>
      </c>
      <c r="H41" s="22">
        <f ca="1">Okt!AJ36</f>
        <v>0</v>
      </c>
      <c r="I41" s="21">
        <f ca="1">Nov!AJ36</f>
        <v>0</v>
      </c>
      <c r="J41" s="22">
        <f ca="1">Des!AJ36</f>
        <v>0</v>
      </c>
      <c r="K41" s="23">
        <f t="shared" ca="1" si="3"/>
        <v>0</v>
      </c>
      <c r="L41" s="23"/>
      <c r="M41" s="21">
        <f ca="1">Jan!AJ36</f>
        <v>0</v>
      </c>
      <c r="N41" s="22">
        <f ca="1">Feb!AJ36</f>
        <v>0</v>
      </c>
      <c r="O41" s="21">
        <f ca="1">Mar!AJ36</f>
        <v>0</v>
      </c>
      <c r="P41" s="22">
        <f ca="1">Apr!AJ36</f>
        <v>0</v>
      </c>
      <c r="Q41" s="21">
        <f ca="1">Mei!AJ36</f>
        <v>0</v>
      </c>
      <c r="R41" s="22">
        <f ca="1">Jun!AJ36</f>
        <v>0</v>
      </c>
      <c r="S41" s="23">
        <f t="shared" ca="1" si="4"/>
        <v>0</v>
      </c>
      <c r="T41" s="24">
        <f t="shared" ca="1" si="5"/>
        <v>0</v>
      </c>
    </row>
    <row r="42" spans="1:20" s="6" customFormat="1" ht="14.25" customHeight="1" x14ac:dyDescent="0.25">
      <c r="A42" s="27">
        <v>23</v>
      </c>
      <c r="B42" s="25" t="e">
        <f t="shared" ca="1" si="0"/>
        <v>#REF!</v>
      </c>
      <c r="C42" s="52" t="e">
        <f t="shared" ca="1" si="1"/>
        <v>#REF!</v>
      </c>
      <c r="D42" s="25" t="e">
        <f t="shared" ca="1" si="2"/>
        <v>#REF!</v>
      </c>
      <c r="E42" s="21">
        <f ca="1">Jul!AJ37</f>
        <v>0</v>
      </c>
      <c r="F42" s="22">
        <f ca="1">Ags!AJ37</f>
        <v>0</v>
      </c>
      <c r="G42" s="21">
        <f ca="1">Sep!AJ37</f>
        <v>0</v>
      </c>
      <c r="H42" s="22">
        <f ca="1">Okt!AJ37</f>
        <v>0</v>
      </c>
      <c r="I42" s="21">
        <f ca="1">Nov!AJ37</f>
        <v>0</v>
      </c>
      <c r="J42" s="22">
        <f ca="1">Des!AJ37</f>
        <v>0</v>
      </c>
      <c r="K42" s="23">
        <f t="shared" ca="1" si="3"/>
        <v>0</v>
      </c>
      <c r="L42" s="23"/>
      <c r="M42" s="21">
        <f ca="1">Jan!AJ37</f>
        <v>0</v>
      </c>
      <c r="N42" s="22">
        <f ca="1">Feb!AJ37</f>
        <v>0</v>
      </c>
      <c r="O42" s="21">
        <f ca="1">Mar!AJ37</f>
        <v>0</v>
      </c>
      <c r="P42" s="22">
        <f ca="1">Apr!AJ37</f>
        <v>0</v>
      </c>
      <c r="Q42" s="21">
        <f ca="1">Mei!AJ37</f>
        <v>0</v>
      </c>
      <c r="R42" s="22">
        <f ca="1">Jun!AJ37</f>
        <v>0</v>
      </c>
      <c r="S42" s="23">
        <f t="shared" ca="1" si="4"/>
        <v>0</v>
      </c>
      <c r="T42" s="24">
        <f t="shared" ca="1" si="5"/>
        <v>0</v>
      </c>
    </row>
    <row r="43" spans="1:20" s="6" customFormat="1" ht="14.25" customHeight="1" x14ac:dyDescent="0.25">
      <c r="A43" s="27">
        <v>24</v>
      </c>
      <c r="B43" s="25" t="e">
        <f t="shared" ca="1" si="0"/>
        <v>#REF!</v>
      </c>
      <c r="C43" s="52" t="e">
        <f t="shared" ca="1" si="1"/>
        <v>#REF!</v>
      </c>
      <c r="D43" s="25" t="e">
        <f t="shared" ca="1" si="2"/>
        <v>#REF!</v>
      </c>
      <c r="E43" s="21">
        <f ca="1">Jul!AJ38</f>
        <v>0</v>
      </c>
      <c r="F43" s="22">
        <f ca="1">Ags!AJ38</f>
        <v>0</v>
      </c>
      <c r="G43" s="21">
        <f ca="1">Sep!AJ38</f>
        <v>0</v>
      </c>
      <c r="H43" s="22">
        <f ca="1">Okt!AJ38</f>
        <v>0</v>
      </c>
      <c r="I43" s="21">
        <f ca="1">Nov!AJ38</f>
        <v>0</v>
      </c>
      <c r="J43" s="22">
        <f ca="1">Des!AJ38</f>
        <v>0</v>
      </c>
      <c r="K43" s="23">
        <f t="shared" ca="1" si="3"/>
        <v>0</v>
      </c>
      <c r="L43" s="23"/>
      <c r="M43" s="21">
        <f ca="1">Jan!AJ38</f>
        <v>0</v>
      </c>
      <c r="N43" s="22">
        <f ca="1">Feb!AJ38</f>
        <v>0</v>
      </c>
      <c r="O43" s="21">
        <f ca="1">Mar!AJ38</f>
        <v>0</v>
      </c>
      <c r="P43" s="22">
        <f ca="1">Apr!AJ38</f>
        <v>0</v>
      </c>
      <c r="Q43" s="21">
        <f ca="1">Mei!AJ38</f>
        <v>0</v>
      </c>
      <c r="R43" s="22">
        <f ca="1">Jun!AJ38</f>
        <v>0</v>
      </c>
      <c r="S43" s="23">
        <f t="shared" ca="1" si="4"/>
        <v>0</v>
      </c>
      <c r="T43" s="24">
        <f t="shared" ca="1" si="5"/>
        <v>0</v>
      </c>
    </row>
    <row r="44" spans="1:20" s="6" customFormat="1" ht="14.25" customHeight="1" x14ac:dyDescent="0.25">
      <c r="A44" s="27">
        <v>25</v>
      </c>
      <c r="B44" s="25" t="e">
        <f t="shared" ca="1" si="0"/>
        <v>#REF!</v>
      </c>
      <c r="C44" s="52" t="e">
        <f t="shared" ca="1" si="1"/>
        <v>#REF!</v>
      </c>
      <c r="D44" s="25" t="e">
        <f t="shared" ca="1" si="2"/>
        <v>#REF!</v>
      </c>
      <c r="E44" s="21">
        <f ca="1">Jul!AJ39</f>
        <v>0</v>
      </c>
      <c r="F44" s="22">
        <f ca="1">Ags!AJ39</f>
        <v>0</v>
      </c>
      <c r="G44" s="21">
        <f ca="1">Sep!AJ39</f>
        <v>0</v>
      </c>
      <c r="H44" s="22">
        <f ca="1">Okt!AJ39</f>
        <v>0</v>
      </c>
      <c r="I44" s="21">
        <f ca="1">Nov!AJ39</f>
        <v>0</v>
      </c>
      <c r="J44" s="22">
        <f ca="1">Des!AJ39</f>
        <v>0</v>
      </c>
      <c r="K44" s="23">
        <f t="shared" ca="1" si="3"/>
        <v>0</v>
      </c>
      <c r="L44" s="23"/>
      <c r="M44" s="21">
        <f ca="1">Jan!AJ39</f>
        <v>0</v>
      </c>
      <c r="N44" s="22">
        <f ca="1">Feb!AJ39</f>
        <v>0</v>
      </c>
      <c r="O44" s="21">
        <f ca="1">Mar!AJ39</f>
        <v>0</v>
      </c>
      <c r="P44" s="22">
        <f ca="1">Apr!AJ39</f>
        <v>0</v>
      </c>
      <c r="Q44" s="21">
        <f ca="1">Mei!AJ39</f>
        <v>0</v>
      </c>
      <c r="R44" s="22">
        <f ca="1">Jun!AJ39</f>
        <v>0</v>
      </c>
      <c r="S44" s="23">
        <f t="shared" ca="1" si="4"/>
        <v>0</v>
      </c>
      <c r="T44" s="24">
        <f t="shared" ca="1" si="5"/>
        <v>0</v>
      </c>
    </row>
    <row r="45" spans="1:20" s="6" customFormat="1" ht="14.25" customHeight="1" x14ac:dyDescent="0.25">
      <c r="A45" s="27">
        <v>26</v>
      </c>
      <c r="B45" s="25" t="e">
        <f t="shared" ca="1" si="0"/>
        <v>#REF!</v>
      </c>
      <c r="C45" s="52" t="e">
        <f t="shared" ca="1" si="1"/>
        <v>#REF!</v>
      </c>
      <c r="D45" s="25" t="e">
        <f t="shared" ca="1" si="2"/>
        <v>#REF!</v>
      </c>
      <c r="E45" s="21">
        <f ca="1">Jul!AJ40</f>
        <v>0</v>
      </c>
      <c r="F45" s="22">
        <f ca="1">Ags!AJ40</f>
        <v>0</v>
      </c>
      <c r="G45" s="21">
        <f ca="1">Sep!AJ40</f>
        <v>0</v>
      </c>
      <c r="H45" s="22">
        <f ca="1">Okt!AJ40</f>
        <v>0</v>
      </c>
      <c r="I45" s="21">
        <f ca="1">Nov!AJ40</f>
        <v>0</v>
      </c>
      <c r="J45" s="22">
        <f ca="1">Des!AJ40</f>
        <v>0</v>
      </c>
      <c r="K45" s="23">
        <f t="shared" ca="1" si="3"/>
        <v>0</v>
      </c>
      <c r="L45" s="23"/>
      <c r="M45" s="21">
        <f ca="1">Jan!AJ40</f>
        <v>0</v>
      </c>
      <c r="N45" s="22">
        <f ca="1">Feb!AJ40</f>
        <v>0</v>
      </c>
      <c r="O45" s="21">
        <f ca="1">Mar!AJ40</f>
        <v>0</v>
      </c>
      <c r="P45" s="22">
        <f ca="1">Apr!AJ40</f>
        <v>0</v>
      </c>
      <c r="Q45" s="21">
        <f ca="1">Mei!AJ40</f>
        <v>0</v>
      </c>
      <c r="R45" s="22">
        <f ca="1">Jun!AJ40</f>
        <v>0</v>
      </c>
      <c r="S45" s="23">
        <f t="shared" ca="1" si="4"/>
        <v>0</v>
      </c>
      <c r="T45" s="24">
        <f t="shared" ca="1" si="5"/>
        <v>0</v>
      </c>
    </row>
    <row r="46" spans="1:20" s="6" customFormat="1" ht="14.25" customHeight="1" x14ac:dyDescent="0.25">
      <c r="A46" s="27">
        <v>27</v>
      </c>
      <c r="B46" s="25" t="e">
        <f t="shared" ca="1" si="0"/>
        <v>#REF!</v>
      </c>
      <c r="C46" s="52" t="e">
        <f t="shared" ca="1" si="1"/>
        <v>#REF!</v>
      </c>
      <c r="D46" s="25" t="e">
        <f t="shared" ca="1" si="2"/>
        <v>#REF!</v>
      </c>
      <c r="E46" s="21">
        <f ca="1">Jul!AJ41</f>
        <v>0</v>
      </c>
      <c r="F46" s="22">
        <f ca="1">Ags!AJ41</f>
        <v>0</v>
      </c>
      <c r="G46" s="21">
        <f ca="1">Sep!AJ41</f>
        <v>0</v>
      </c>
      <c r="H46" s="22">
        <f ca="1">Okt!AJ41</f>
        <v>0</v>
      </c>
      <c r="I46" s="21">
        <f ca="1">Nov!AJ41</f>
        <v>0</v>
      </c>
      <c r="J46" s="22">
        <f ca="1">Des!AJ41</f>
        <v>0</v>
      </c>
      <c r="K46" s="23">
        <f t="shared" ca="1" si="3"/>
        <v>0</v>
      </c>
      <c r="L46" s="23"/>
      <c r="M46" s="21">
        <f ca="1">Jan!AJ41</f>
        <v>0</v>
      </c>
      <c r="N46" s="22">
        <f ca="1">Feb!AJ41</f>
        <v>0</v>
      </c>
      <c r="O46" s="21">
        <f ca="1">Mar!AJ41</f>
        <v>0</v>
      </c>
      <c r="P46" s="22">
        <f ca="1">Apr!AJ41</f>
        <v>0</v>
      </c>
      <c r="Q46" s="21">
        <f ca="1">Mei!AJ41</f>
        <v>0</v>
      </c>
      <c r="R46" s="22">
        <f ca="1">Jun!AJ41</f>
        <v>0</v>
      </c>
      <c r="S46" s="23">
        <f t="shared" ca="1" si="4"/>
        <v>0</v>
      </c>
      <c r="T46" s="24">
        <f t="shared" ca="1" si="5"/>
        <v>0</v>
      </c>
    </row>
    <row r="47" spans="1:20" s="6" customFormat="1" ht="14.25" customHeight="1" x14ac:dyDescent="0.25">
      <c r="A47" s="27">
        <v>28</v>
      </c>
      <c r="B47" s="25" t="e">
        <f t="shared" ca="1" si="0"/>
        <v>#REF!</v>
      </c>
      <c r="C47" s="52" t="e">
        <f t="shared" ca="1" si="1"/>
        <v>#REF!</v>
      </c>
      <c r="D47" s="25" t="e">
        <f t="shared" ca="1" si="2"/>
        <v>#REF!</v>
      </c>
      <c r="E47" s="21">
        <f ca="1">Jul!AJ42</f>
        <v>0</v>
      </c>
      <c r="F47" s="22">
        <f ca="1">Ags!AJ42</f>
        <v>0</v>
      </c>
      <c r="G47" s="21">
        <f ca="1">Sep!AJ42</f>
        <v>0</v>
      </c>
      <c r="H47" s="22">
        <f ca="1">Okt!AJ42</f>
        <v>0</v>
      </c>
      <c r="I47" s="21">
        <f ca="1">Nov!AJ42</f>
        <v>0</v>
      </c>
      <c r="J47" s="22">
        <f ca="1">Des!AJ42</f>
        <v>0</v>
      </c>
      <c r="K47" s="23">
        <f t="shared" ca="1" si="3"/>
        <v>0</v>
      </c>
      <c r="L47" s="23"/>
      <c r="M47" s="21">
        <f ca="1">Jan!AJ42</f>
        <v>0</v>
      </c>
      <c r="N47" s="22">
        <f ca="1">Feb!AJ42</f>
        <v>0</v>
      </c>
      <c r="O47" s="21">
        <f ca="1">Mar!AJ42</f>
        <v>0</v>
      </c>
      <c r="P47" s="22">
        <f ca="1">Apr!AJ42</f>
        <v>0</v>
      </c>
      <c r="Q47" s="21">
        <f ca="1">Mei!AJ42</f>
        <v>0</v>
      </c>
      <c r="R47" s="22">
        <f ca="1">Jun!AJ42</f>
        <v>0</v>
      </c>
      <c r="S47" s="23">
        <f t="shared" ca="1" si="4"/>
        <v>0</v>
      </c>
      <c r="T47" s="24">
        <f t="shared" ca="1" si="5"/>
        <v>0</v>
      </c>
    </row>
    <row r="48" spans="1:20" s="6" customFormat="1" ht="14.25" customHeight="1" x14ac:dyDescent="0.25">
      <c r="A48" s="27">
        <v>29</v>
      </c>
      <c r="B48" s="25" t="e">
        <f t="shared" ca="1" si="0"/>
        <v>#REF!</v>
      </c>
      <c r="C48" s="52" t="e">
        <f t="shared" ca="1" si="1"/>
        <v>#REF!</v>
      </c>
      <c r="D48" s="25" t="e">
        <f t="shared" ca="1" si="2"/>
        <v>#REF!</v>
      </c>
      <c r="E48" s="21">
        <f ca="1">Jul!AJ43</f>
        <v>0</v>
      </c>
      <c r="F48" s="22">
        <f ca="1">Ags!AJ43</f>
        <v>0</v>
      </c>
      <c r="G48" s="21">
        <f ca="1">Sep!AJ43</f>
        <v>0</v>
      </c>
      <c r="H48" s="22">
        <f ca="1">Okt!AJ43</f>
        <v>0</v>
      </c>
      <c r="I48" s="21">
        <f ca="1">Nov!AJ43</f>
        <v>0</v>
      </c>
      <c r="J48" s="22">
        <f ca="1">Des!AJ43</f>
        <v>0</v>
      </c>
      <c r="K48" s="23">
        <f t="shared" ca="1" si="3"/>
        <v>0</v>
      </c>
      <c r="L48" s="23"/>
      <c r="M48" s="21">
        <f ca="1">Jan!AJ43</f>
        <v>0</v>
      </c>
      <c r="N48" s="22">
        <f ca="1">Feb!AJ43</f>
        <v>0</v>
      </c>
      <c r="O48" s="21">
        <f ca="1">Mar!AJ43</f>
        <v>0</v>
      </c>
      <c r="P48" s="22">
        <f ca="1">Apr!AJ43</f>
        <v>0</v>
      </c>
      <c r="Q48" s="21">
        <f ca="1">Mei!AJ43</f>
        <v>0</v>
      </c>
      <c r="R48" s="22">
        <f ca="1">Jun!AJ43</f>
        <v>0</v>
      </c>
      <c r="S48" s="23">
        <f t="shared" ca="1" si="4"/>
        <v>0</v>
      </c>
      <c r="T48" s="24">
        <f t="shared" ca="1" si="5"/>
        <v>0</v>
      </c>
    </row>
    <row r="49" spans="1:20" s="6" customFormat="1" ht="14.25" customHeight="1" x14ac:dyDescent="0.25">
      <c r="A49" s="27">
        <v>30</v>
      </c>
      <c r="B49" s="25" t="e">
        <f t="shared" ca="1" si="0"/>
        <v>#REF!</v>
      </c>
      <c r="C49" s="52" t="e">
        <f t="shared" ca="1" si="1"/>
        <v>#REF!</v>
      </c>
      <c r="D49" s="25" t="e">
        <f t="shared" ca="1" si="2"/>
        <v>#REF!</v>
      </c>
      <c r="E49" s="21">
        <f ca="1">Jul!AJ44</f>
        <v>0</v>
      </c>
      <c r="F49" s="22">
        <f ca="1">Ags!AJ44</f>
        <v>0</v>
      </c>
      <c r="G49" s="21">
        <f ca="1">Sep!AJ44</f>
        <v>0</v>
      </c>
      <c r="H49" s="22">
        <f ca="1">Okt!AJ44</f>
        <v>0</v>
      </c>
      <c r="I49" s="21">
        <f ca="1">Nov!AJ44</f>
        <v>0</v>
      </c>
      <c r="J49" s="22">
        <f ca="1">Des!AJ44</f>
        <v>0</v>
      </c>
      <c r="K49" s="23">
        <f t="shared" ca="1" si="3"/>
        <v>0</v>
      </c>
      <c r="L49" s="23"/>
      <c r="M49" s="21">
        <f ca="1">Jan!AJ44</f>
        <v>0</v>
      </c>
      <c r="N49" s="22">
        <f ca="1">Feb!AJ44</f>
        <v>0</v>
      </c>
      <c r="O49" s="21">
        <f ca="1">Mar!AJ44</f>
        <v>0</v>
      </c>
      <c r="P49" s="22">
        <f ca="1">Apr!AJ44</f>
        <v>0</v>
      </c>
      <c r="Q49" s="21">
        <f ca="1">Mei!AJ44</f>
        <v>0</v>
      </c>
      <c r="R49" s="22">
        <f ca="1">Jun!AJ44</f>
        <v>0</v>
      </c>
      <c r="S49" s="23">
        <f t="shared" ca="1" si="4"/>
        <v>0</v>
      </c>
      <c r="T49" s="24">
        <f t="shared" ca="1" si="5"/>
        <v>0</v>
      </c>
    </row>
    <row r="50" spans="1:20" s="6" customFormat="1" ht="14.25" customHeight="1" x14ac:dyDescent="0.25">
      <c r="A50" s="27">
        <v>31</v>
      </c>
      <c r="B50" s="25" t="e">
        <f t="shared" ca="1" si="0"/>
        <v>#REF!</v>
      </c>
      <c r="C50" s="52" t="e">
        <f t="shared" ca="1" si="1"/>
        <v>#REF!</v>
      </c>
      <c r="D50" s="25" t="e">
        <f t="shared" ca="1" si="2"/>
        <v>#REF!</v>
      </c>
      <c r="E50" s="21">
        <f ca="1">Jul!AJ45</f>
        <v>0</v>
      </c>
      <c r="F50" s="22">
        <f ca="1">Ags!AJ45</f>
        <v>0</v>
      </c>
      <c r="G50" s="21">
        <f ca="1">Sep!AJ45</f>
        <v>0</v>
      </c>
      <c r="H50" s="22">
        <f ca="1">Okt!AJ45</f>
        <v>0</v>
      </c>
      <c r="I50" s="21">
        <f ca="1">Nov!AJ45</f>
        <v>0</v>
      </c>
      <c r="J50" s="22">
        <f ca="1">Des!AJ45</f>
        <v>0</v>
      </c>
      <c r="K50" s="23">
        <f t="shared" ca="1" si="3"/>
        <v>0</v>
      </c>
      <c r="L50" s="23"/>
      <c r="M50" s="21">
        <f ca="1">Jan!AJ45</f>
        <v>0</v>
      </c>
      <c r="N50" s="22">
        <f ca="1">Feb!AJ45</f>
        <v>0</v>
      </c>
      <c r="O50" s="21">
        <f ca="1">Mar!AJ45</f>
        <v>0</v>
      </c>
      <c r="P50" s="22">
        <f ca="1">Apr!AJ45</f>
        <v>0</v>
      </c>
      <c r="Q50" s="21">
        <f ca="1">Mei!AJ45</f>
        <v>0</v>
      </c>
      <c r="R50" s="22">
        <f ca="1">Jun!AJ45</f>
        <v>0</v>
      </c>
      <c r="S50" s="23">
        <f t="shared" ca="1" si="4"/>
        <v>0</v>
      </c>
      <c r="T50" s="24">
        <f t="shared" ca="1" si="5"/>
        <v>0</v>
      </c>
    </row>
    <row r="51" spans="1:20" s="6" customFormat="1" ht="14.25" customHeight="1" x14ac:dyDescent="0.25">
      <c r="A51" s="27">
        <v>32</v>
      </c>
      <c r="B51" s="25" t="e">
        <f t="shared" ca="1" si="0"/>
        <v>#REF!</v>
      </c>
      <c r="C51" s="52" t="e">
        <f t="shared" ca="1" si="1"/>
        <v>#REF!</v>
      </c>
      <c r="D51" s="25" t="e">
        <f t="shared" ca="1" si="2"/>
        <v>#REF!</v>
      </c>
      <c r="E51" s="21">
        <f ca="1">Jul!AJ46</f>
        <v>0</v>
      </c>
      <c r="F51" s="22">
        <f ca="1">Ags!AJ46</f>
        <v>0</v>
      </c>
      <c r="G51" s="21">
        <f ca="1">Sep!AJ46</f>
        <v>0</v>
      </c>
      <c r="H51" s="22">
        <f ca="1">Okt!AJ46</f>
        <v>0</v>
      </c>
      <c r="I51" s="21">
        <f ca="1">Nov!AJ46</f>
        <v>0</v>
      </c>
      <c r="J51" s="22">
        <f ca="1">Des!AJ46</f>
        <v>0</v>
      </c>
      <c r="K51" s="23">
        <f t="shared" ca="1" si="3"/>
        <v>0</v>
      </c>
      <c r="L51" s="23"/>
      <c r="M51" s="21">
        <f ca="1">Jan!AJ46</f>
        <v>0</v>
      </c>
      <c r="N51" s="22">
        <f ca="1">Feb!AJ46</f>
        <v>0</v>
      </c>
      <c r="O51" s="21">
        <f ca="1">Mar!AJ46</f>
        <v>0</v>
      </c>
      <c r="P51" s="22">
        <f ca="1">Apr!AJ46</f>
        <v>0</v>
      </c>
      <c r="Q51" s="21">
        <f ca="1">Mei!AJ46</f>
        <v>0</v>
      </c>
      <c r="R51" s="22">
        <f ca="1">Jun!AJ46</f>
        <v>0</v>
      </c>
      <c r="S51" s="23">
        <f t="shared" ca="1" si="4"/>
        <v>0</v>
      </c>
      <c r="T51" s="24">
        <f t="shared" ca="1" si="5"/>
        <v>0</v>
      </c>
    </row>
    <row r="52" spans="1:20" s="6" customFormat="1" ht="14.25" customHeight="1" x14ac:dyDescent="0.25">
      <c r="A52" s="27">
        <v>33</v>
      </c>
      <c r="B52" s="25" t="e">
        <f t="shared" ca="1" si="0"/>
        <v>#REF!</v>
      </c>
      <c r="C52" s="52" t="e">
        <f t="shared" ca="1" si="1"/>
        <v>#REF!</v>
      </c>
      <c r="D52" s="25" t="e">
        <f t="shared" ca="1" si="2"/>
        <v>#REF!</v>
      </c>
      <c r="E52" s="21">
        <f ca="1">Jul!AJ47</f>
        <v>0</v>
      </c>
      <c r="F52" s="22">
        <f ca="1">Ags!AJ47</f>
        <v>0</v>
      </c>
      <c r="G52" s="21">
        <f ca="1">Sep!AJ47</f>
        <v>0</v>
      </c>
      <c r="H52" s="22">
        <f ca="1">Okt!AJ47</f>
        <v>0</v>
      </c>
      <c r="I52" s="21">
        <f ca="1">Nov!AJ47</f>
        <v>0</v>
      </c>
      <c r="J52" s="22">
        <f ca="1">Des!AJ47</f>
        <v>0</v>
      </c>
      <c r="K52" s="23">
        <f t="shared" ca="1" si="3"/>
        <v>0</v>
      </c>
      <c r="L52" s="23"/>
      <c r="M52" s="21">
        <f ca="1">Jan!AJ47</f>
        <v>0</v>
      </c>
      <c r="N52" s="22">
        <f ca="1">Feb!AJ47</f>
        <v>0</v>
      </c>
      <c r="O52" s="21">
        <f ca="1">Mar!AJ47</f>
        <v>0</v>
      </c>
      <c r="P52" s="22">
        <f ca="1">Apr!AJ47</f>
        <v>0</v>
      </c>
      <c r="Q52" s="21">
        <f ca="1">Mei!AJ47</f>
        <v>0</v>
      </c>
      <c r="R52" s="22">
        <f ca="1">Jun!AJ47</f>
        <v>0</v>
      </c>
      <c r="S52" s="23">
        <f t="shared" ca="1" si="4"/>
        <v>0</v>
      </c>
      <c r="T52" s="24">
        <f t="shared" ca="1" si="5"/>
        <v>0</v>
      </c>
    </row>
    <row r="53" spans="1:20" s="6" customFormat="1" ht="14.25" customHeight="1" x14ac:dyDescent="0.25">
      <c r="A53" s="27">
        <v>34</v>
      </c>
      <c r="B53" s="25" t="e">
        <f t="shared" ca="1" si="0"/>
        <v>#REF!</v>
      </c>
      <c r="C53" s="52" t="e">
        <f t="shared" ca="1" si="1"/>
        <v>#REF!</v>
      </c>
      <c r="D53" s="25" t="e">
        <f t="shared" ca="1" si="2"/>
        <v>#REF!</v>
      </c>
      <c r="E53" s="21">
        <f ca="1">Jul!AJ48</f>
        <v>0</v>
      </c>
      <c r="F53" s="22">
        <f ca="1">Ags!AJ48</f>
        <v>0</v>
      </c>
      <c r="G53" s="21">
        <f ca="1">Sep!AJ48</f>
        <v>0</v>
      </c>
      <c r="H53" s="22">
        <f ca="1">Okt!AJ48</f>
        <v>0</v>
      </c>
      <c r="I53" s="21">
        <f ca="1">Nov!AJ48</f>
        <v>0</v>
      </c>
      <c r="J53" s="22">
        <f ca="1">Des!AJ48</f>
        <v>0</v>
      </c>
      <c r="K53" s="23">
        <f t="shared" ca="1" si="3"/>
        <v>0</v>
      </c>
      <c r="L53" s="23"/>
      <c r="M53" s="21">
        <f ca="1">Jan!AJ48</f>
        <v>0</v>
      </c>
      <c r="N53" s="22">
        <f ca="1">Feb!AJ48</f>
        <v>0</v>
      </c>
      <c r="O53" s="21">
        <f ca="1">Mar!AJ48</f>
        <v>0</v>
      </c>
      <c r="P53" s="22">
        <f ca="1">Apr!AJ48</f>
        <v>0</v>
      </c>
      <c r="Q53" s="21">
        <f ca="1">Mei!AJ48</f>
        <v>0</v>
      </c>
      <c r="R53" s="22">
        <f ca="1">Jun!AJ48</f>
        <v>0</v>
      </c>
      <c r="S53" s="23">
        <f t="shared" ca="1" si="4"/>
        <v>0</v>
      </c>
      <c r="T53" s="24">
        <f t="shared" ca="1" si="5"/>
        <v>0</v>
      </c>
    </row>
    <row r="54" spans="1:20" s="6" customFormat="1" ht="14.25" customHeight="1" x14ac:dyDescent="0.25">
      <c r="A54" s="27">
        <v>35</v>
      </c>
      <c r="B54" s="25" t="e">
        <f t="shared" ca="1" si="0"/>
        <v>#REF!</v>
      </c>
      <c r="C54" s="52" t="e">
        <f t="shared" ca="1" si="1"/>
        <v>#REF!</v>
      </c>
      <c r="D54" s="25" t="e">
        <f t="shared" ca="1" si="2"/>
        <v>#REF!</v>
      </c>
      <c r="E54" s="21">
        <f ca="1">Jul!AJ49</f>
        <v>0</v>
      </c>
      <c r="F54" s="22">
        <f ca="1">Ags!AJ49</f>
        <v>0</v>
      </c>
      <c r="G54" s="21">
        <f ca="1">Sep!AJ49</f>
        <v>0</v>
      </c>
      <c r="H54" s="22">
        <f ca="1">Okt!AJ49</f>
        <v>0</v>
      </c>
      <c r="I54" s="21">
        <f ca="1">Nov!AJ49</f>
        <v>0</v>
      </c>
      <c r="J54" s="22">
        <f ca="1">Des!AJ49</f>
        <v>0</v>
      </c>
      <c r="K54" s="23">
        <f t="shared" ca="1" si="3"/>
        <v>0</v>
      </c>
      <c r="L54" s="23"/>
      <c r="M54" s="21">
        <f ca="1">Jan!AJ49</f>
        <v>0</v>
      </c>
      <c r="N54" s="22">
        <f ca="1">Feb!AJ49</f>
        <v>0</v>
      </c>
      <c r="O54" s="21">
        <f ca="1">Mar!AJ49</f>
        <v>0</v>
      </c>
      <c r="P54" s="22">
        <f ca="1">Apr!AJ49</f>
        <v>0</v>
      </c>
      <c r="Q54" s="21">
        <f ca="1">Mei!AJ49</f>
        <v>0</v>
      </c>
      <c r="R54" s="22">
        <f ca="1">Jun!AJ49</f>
        <v>0</v>
      </c>
      <c r="S54" s="23">
        <f t="shared" ca="1" si="4"/>
        <v>0</v>
      </c>
      <c r="T54" s="24">
        <f t="shared" ca="1" si="5"/>
        <v>0</v>
      </c>
    </row>
    <row r="55" spans="1:20" s="6" customFormat="1" ht="14.25" customHeight="1" x14ac:dyDescent="0.25">
      <c r="A55" s="27">
        <v>36</v>
      </c>
      <c r="B55" s="25" t="e">
        <f t="shared" ca="1" si="0"/>
        <v>#REF!</v>
      </c>
      <c r="C55" s="52" t="e">
        <f t="shared" ca="1" si="1"/>
        <v>#REF!</v>
      </c>
      <c r="D55" s="25" t="e">
        <f t="shared" ca="1" si="2"/>
        <v>#REF!</v>
      </c>
      <c r="E55" s="21">
        <f ca="1">Jul!AJ50</f>
        <v>0</v>
      </c>
      <c r="F55" s="22">
        <f ca="1">Ags!AJ50</f>
        <v>0</v>
      </c>
      <c r="G55" s="21">
        <f ca="1">Sep!AJ50</f>
        <v>0</v>
      </c>
      <c r="H55" s="22">
        <f ca="1">Okt!AJ50</f>
        <v>0</v>
      </c>
      <c r="I55" s="21">
        <f ca="1">Nov!AJ50</f>
        <v>0</v>
      </c>
      <c r="J55" s="22">
        <f ca="1">Des!AJ50</f>
        <v>0</v>
      </c>
      <c r="K55" s="23">
        <f t="shared" ca="1" si="3"/>
        <v>0</v>
      </c>
      <c r="L55" s="23"/>
      <c r="M55" s="21">
        <f ca="1">Jan!AJ50</f>
        <v>0</v>
      </c>
      <c r="N55" s="22">
        <f ca="1">Feb!AJ50</f>
        <v>0</v>
      </c>
      <c r="O55" s="21">
        <f ca="1">Mar!AJ50</f>
        <v>0</v>
      </c>
      <c r="P55" s="22">
        <f ca="1">Apr!AJ50</f>
        <v>0</v>
      </c>
      <c r="Q55" s="21">
        <f ca="1">Mei!AJ50</f>
        <v>0</v>
      </c>
      <c r="R55" s="22">
        <f ca="1">Jun!AJ50</f>
        <v>0</v>
      </c>
      <c r="S55" s="23">
        <f t="shared" ca="1" si="4"/>
        <v>0</v>
      </c>
      <c r="T55" s="24">
        <f t="shared" ca="1" si="5"/>
        <v>0</v>
      </c>
    </row>
    <row r="56" spans="1:20" s="6" customFormat="1" ht="14.25" customHeight="1" x14ac:dyDescent="0.25">
      <c r="A56" s="27">
        <v>37</v>
      </c>
      <c r="B56" s="25" t="e">
        <f t="shared" ca="1" si="0"/>
        <v>#REF!</v>
      </c>
      <c r="C56" s="52" t="e">
        <f t="shared" ca="1" si="1"/>
        <v>#REF!</v>
      </c>
      <c r="D56" s="25" t="e">
        <f t="shared" ca="1" si="2"/>
        <v>#REF!</v>
      </c>
      <c r="E56" s="21">
        <f ca="1">Jul!AJ51</f>
        <v>0</v>
      </c>
      <c r="F56" s="22">
        <f ca="1">Ags!AJ51</f>
        <v>0</v>
      </c>
      <c r="G56" s="21">
        <f ca="1">Sep!AJ51</f>
        <v>0</v>
      </c>
      <c r="H56" s="22">
        <f ca="1">Okt!AJ51</f>
        <v>0</v>
      </c>
      <c r="I56" s="21">
        <f ca="1">Nov!AJ51</f>
        <v>0</v>
      </c>
      <c r="J56" s="22">
        <f ca="1">Des!AJ51</f>
        <v>0</v>
      </c>
      <c r="K56" s="23">
        <f t="shared" ca="1" si="3"/>
        <v>0</v>
      </c>
      <c r="L56" s="23"/>
      <c r="M56" s="21">
        <f ca="1">Jan!AJ51</f>
        <v>0</v>
      </c>
      <c r="N56" s="22">
        <f ca="1">Feb!AJ51</f>
        <v>0</v>
      </c>
      <c r="O56" s="21">
        <f ca="1">Mar!AJ51</f>
        <v>0</v>
      </c>
      <c r="P56" s="22">
        <f ca="1">Apr!AJ51</f>
        <v>0</v>
      </c>
      <c r="Q56" s="21">
        <f ca="1">Mei!AJ51</f>
        <v>0</v>
      </c>
      <c r="R56" s="22">
        <f ca="1">Jun!AJ51</f>
        <v>0</v>
      </c>
      <c r="S56" s="23">
        <f t="shared" ca="1" si="4"/>
        <v>0</v>
      </c>
      <c r="T56" s="24">
        <f t="shared" ca="1" si="5"/>
        <v>0</v>
      </c>
    </row>
    <row r="57" spans="1:20" s="6" customFormat="1" ht="14.25" customHeight="1" x14ac:dyDescent="0.25">
      <c r="A57" s="27">
        <v>38</v>
      </c>
      <c r="B57" s="25" t="e">
        <f t="shared" ca="1" si="0"/>
        <v>#REF!</v>
      </c>
      <c r="C57" s="52" t="e">
        <f t="shared" ca="1" si="1"/>
        <v>#REF!</v>
      </c>
      <c r="D57" s="25" t="e">
        <f t="shared" ca="1" si="2"/>
        <v>#REF!</v>
      </c>
      <c r="E57" s="21">
        <f ca="1">Jul!AJ52</f>
        <v>0</v>
      </c>
      <c r="F57" s="22">
        <f ca="1">Ags!AJ52</f>
        <v>0</v>
      </c>
      <c r="G57" s="21">
        <f ca="1">Sep!AJ52</f>
        <v>0</v>
      </c>
      <c r="H57" s="22">
        <f ca="1">Okt!AJ52</f>
        <v>0</v>
      </c>
      <c r="I57" s="21">
        <f ca="1">Nov!AJ52</f>
        <v>0</v>
      </c>
      <c r="J57" s="22">
        <f ca="1">Des!AJ52</f>
        <v>0</v>
      </c>
      <c r="K57" s="23">
        <f t="shared" ca="1" si="3"/>
        <v>0</v>
      </c>
      <c r="L57" s="23"/>
      <c r="M57" s="21">
        <f ca="1">Jan!AJ52</f>
        <v>0</v>
      </c>
      <c r="N57" s="22">
        <f ca="1">Feb!AJ52</f>
        <v>0</v>
      </c>
      <c r="O57" s="21">
        <f ca="1">Mar!AJ52</f>
        <v>0</v>
      </c>
      <c r="P57" s="22">
        <f ca="1">Apr!AJ52</f>
        <v>0</v>
      </c>
      <c r="Q57" s="21">
        <f ca="1">Mei!AJ52</f>
        <v>0</v>
      </c>
      <c r="R57" s="22">
        <f ca="1">Jun!AJ52</f>
        <v>0</v>
      </c>
      <c r="S57" s="23">
        <f t="shared" ca="1" si="4"/>
        <v>0</v>
      </c>
      <c r="T57" s="24">
        <f t="shared" ca="1" si="5"/>
        <v>0</v>
      </c>
    </row>
    <row r="58" spans="1:20" s="6" customFormat="1" ht="14.25" customHeight="1" x14ac:dyDescent="0.25">
      <c r="A58" s="27">
        <v>39</v>
      </c>
      <c r="B58" s="25" t="e">
        <f t="shared" ca="1" si="0"/>
        <v>#REF!</v>
      </c>
      <c r="C58" s="52" t="e">
        <f t="shared" ca="1" si="1"/>
        <v>#REF!</v>
      </c>
      <c r="D58" s="25" t="e">
        <f t="shared" ca="1" si="2"/>
        <v>#REF!</v>
      </c>
      <c r="E58" s="21">
        <f ca="1">Jul!AJ53</f>
        <v>0</v>
      </c>
      <c r="F58" s="22">
        <f ca="1">Ags!AJ53</f>
        <v>0</v>
      </c>
      <c r="G58" s="21">
        <f ca="1">Sep!AJ53</f>
        <v>0</v>
      </c>
      <c r="H58" s="22">
        <f ca="1">Okt!AJ53</f>
        <v>0</v>
      </c>
      <c r="I58" s="21">
        <f ca="1">Nov!AJ53</f>
        <v>0</v>
      </c>
      <c r="J58" s="22">
        <f ca="1">Des!AJ53</f>
        <v>0</v>
      </c>
      <c r="K58" s="23">
        <f t="shared" ca="1" si="3"/>
        <v>0</v>
      </c>
      <c r="L58" s="23"/>
      <c r="M58" s="21">
        <f ca="1">Jan!AJ53</f>
        <v>0</v>
      </c>
      <c r="N58" s="22">
        <f ca="1">Feb!AJ53</f>
        <v>0</v>
      </c>
      <c r="O58" s="21">
        <f ca="1">Mar!AJ53</f>
        <v>0</v>
      </c>
      <c r="P58" s="22">
        <f ca="1">Apr!AJ53</f>
        <v>0</v>
      </c>
      <c r="Q58" s="21">
        <f ca="1">Mei!AJ53</f>
        <v>0</v>
      </c>
      <c r="R58" s="22">
        <f ca="1">Jun!AJ53</f>
        <v>0</v>
      </c>
      <c r="S58" s="23">
        <f t="shared" ca="1" si="4"/>
        <v>0</v>
      </c>
      <c r="T58" s="24">
        <f t="shared" ca="1" si="5"/>
        <v>0</v>
      </c>
    </row>
    <row r="59" spans="1:20" s="6" customFormat="1" ht="14.25" customHeight="1" x14ac:dyDescent="0.25">
      <c r="A59" s="27">
        <v>40</v>
      </c>
      <c r="B59" s="25" t="e">
        <f t="shared" ca="1" si="0"/>
        <v>#REF!</v>
      </c>
      <c r="C59" s="52" t="e">
        <f t="shared" ca="1" si="1"/>
        <v>#REF!</v>
      </c>
      <c r="D59" s="25" t="e">
        <f t="shared" ca="1" si="2"/>
        <v>#REF!</v>
      </c>
      <c r="E59" s="21">
        <f ca="1">Jul!AJ54</f>
        <v>0</v>
      </c>
      <c r="F59" s="22">
        <f ca="1">Ags!AJ54</f>
        <v>0</v>
      </c>
      <c r="G59" s="21">
        <f ca="1">Sep!AJ54</f>
        <v>0</v>
      </c>
      <c r="H59" s="22">
        <f ca="1">Okt!AJ54</f>
        <v>0</v>
      </c>
      <c r="I59" s="21">
        <f ca="1">Nov!AJ54</f>
        <v>0</v>
      </c>
      <c r="J59" s="22">
        <f ca="1">Des!AJ54</f>
        <v>0</v>
      </c>
      <c r="K59" s="23">
        <f t="shared" ca="1" si="3"/>
        <v>0</v>
      </c>
      <c r="L59" s="23"/>
      <c r="M59" s="21">
        <f ca="1">Jan!AJ54</f>
        <v>0</v>
      </c>
      <c r="N59" s="22">
        <f ca="1">Feb!AJ54</f>
        <v>0</v>
      </c>
      <c r="O59" s="21">
        <f ca="1">Mar!AJ54</f>
        <v>0</v>
      </c>
      <c r="P59" s="22">
        <f ca="1">Apr!AJ54</f>
        <v>0</v>
      </c>
      <c r="Q59" s="21">
        <f ca="1">Mei!AJ54</f>
        <v>0</v>
      </c>
      <c r="R59" s="22">
        <f ca="1">Jun!AJ54</f>
        <v>0</v>
      </c>
      <c r="S59" s="23">
        <f t="shared" ca="1" si="4"/>
        <v>0</v>
      </c>
      <c r="T59" s="24">
        <f t="shared" ca="1" si="5"/>
        <v>0</v>
      </c>
    </row>
  </sheetData>
  <mergeCells count="28">
    <mergeCell ref="E1:S1"/>
    <mergeCell ref="E2:S2"/>
    <mergeCell ref="E3:S3"/>
    <mergeCell ref="E4:S4"/>
    <mergeCell ref="E6:S6"/>
    <mergeCell ref="E7:S7"/>
    <mergeCell ref="A12:C12"/>
    <mergeCell ref="A14:A15"/>
    <mergeCell ref="C14:C17"/>
    <mergeCell ref="D14:D17"/>
    <mergeCell ref="E14:E16"/>
    <mergeCell ref="F14:F16"/>
    <mergeCell ref="G14:G16"/>
    <mergeCell ref="H14:H16"/>
    <mergeCell ref="I14:I16"/>
    <mergeCell ref="J14:J16"/>
    <mergeCell ref="K14:K16"/>
    <mergeCell ref="M14:M16"/>
    <mergeCell ref="N14:N16"/>
    <mergeCell ref="O14:O16"/>
    <mergeCell ref="P14:P16"/>
    <mergeCell ref="A19:T19"/>
    <mergeCell ref="Q14:Q16"/>
    <mergeCell ref="R14:R16"/>
    <mergeCell ref="S14:S16"/>
    <mergeCell ref="T14:T16"/>
    <mergeCell ref="A16:A17"/>
    <mergeCell ref="B16:B17"/>
  </mergeCells>
  <pageMargins left="0.25" right="0.25" top="0.75" bottom="0.75" header="0.511811023622047" footer="0.511811023622047"/>
  <pageSetup paperSize="14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51D1-F90D-4270-BF15-C63C83544052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E15" sqref="E15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>
        <f ca="1">DATE(--LEFT(INDIRECT("'Data Murid'!A3"),4),7,1)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5" t="e">
        <f ca="1">'rekap absensi seluruhnya'!C49</f>
        <v>#REF!</v>
      </c>
      <c r="D44" s="27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71" priority="123">
      <formula>E$12="sun"</formula>
    </cfRule>
    <cfRule type="expression" dxfId="70" priority="124">
      <formula>E$12="sat"</formula>
    </cfRule>
  </conditionalFormatting>
  <conditionalFormatting sqref="E13:AI13">
    <cfRule type="expression" dxfId="69" priority="127">
      <formula>E$12="mgg"</formula>
    </cfRule>
    <cfRule type="expression" dxfId="68" priority="128">
      <formula>E$12="sab"</formula>
    </cfRule>
  </conditionalFormatting>
  <conditionalFormatting sqref="E15:AI54">
    <cfRule type="expression" dxfId="67" priority="119">
      <formula>E$12="mgg"</formula>
    </cfRule>
    <cfRule type="expression" dxfId="66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5F26-9B49-4222-969D-504FB7AD803C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P63" sqref="P63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>
        <f ca="1">DATE(--LEFT(INDIRECT("'Data Murid'!A3"),4),8,1)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5" t="e">
        <f ca="1">'rekap absensi seluruhnya'!C52</f>
        <v>#REF!</v>
      </c>
      <c r="D47" s="27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65" priority="123">
      <formula>E$12="sun"</formula>
    </cfRule>
    <cfRule type="expression" dxfId="64" priority="124">
      <formula>E$12="sat"</formula>
    </cfRule>
  </conditionalFormatting>
  <conditionalFormatting sqref="E13:AI13">
    <cfRule type="expression" dxfId="63" priority="127">
      <formula>E$12="mgg"</formula>
    </cfRule>
    <cfRule type="expression" dxfId="62" priority="128">
      <formula>E$12="sab"</formula>
    </cfRule>
  </conditionalFormatting>
  <conditionalFormatting sqref="E15:AI54">
    <cfRule type="expression" dxfId="61" priority="119">
      <formula>E$12="mgg"</formula>
    </cfRule>
    <cfRule type="expression" dxfId="60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3B82-74A3-4888-B943-32ACD283E0AB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AK56" sqref="AK56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>
        <f ca="1">DATE(--LEFT(INDIRECT("'Data Murid'!A3"),4),9,1)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5" t="e">
        <f ca="1">'rekap absensi seluruhnya'!C53</f>
        <v>#REF!</v>
      </c>
      <c r="D48" s="27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59" priority="123">
      <formula>E$12="sun"</formula>
    </cfRule>
    <cfRule type="expression" dxfId="58" priority="124">
      <formula>E$12="sat"</formula>
    </cfRule>
  </conditionalFormatting>
  <conditionalFormatting sqref="E13:AI13">
    <cfRule type="expression" dxfId="57" priority="127">
      <formula>E$12="mgg"</formula>
    </cfRule>
    <cfRule type="expression" dxfId="56" priority="128">
      <formula>E$12="sab"</formula>
    </cfRule>
  </conditionalFormatting>
  <conditionalFormatting sqref="E15:AI54">
    <cfRule type="expression" dxfId="55" priority="119">
      <formula>E$12="mgg"</formula>
    </cfRule>
    <cfRule type="expression" dxfId="54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6DAC-F9AD-4D6F-A09B-D6653A06E66F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H64" sqref="H64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>
        <f ca="1">DATE(--LEFT(INDIRECT("'Data Murid'!A3"),4),10,1)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7" t="e">
        <f ca="1">'rekap absensi seluruhnya'!B54</f>
        <v>#REF!</v>
      </c>
      <c r="C49" s="55" t="e">
        <f ca="1">'rekap absensi seluruhnya'!C54</f>
        <v>#REF!</v>
      </c>
      <c r="D49" s="27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53" priority="123">
      <formula>E$12="sun"</formula>
    </cfRule>
    <cfRule type="expression" dxfId="52" priority="124">
      <formula>E$12="sat"</formula>
    </cfRule>
  </conditionalFormatting>
  <conditionalFormatting sqref="E13:AI13">
    <cfRule type="expression" dxfId="51" priority="127">
      <formula>E$12="mgg"</formula>
    </cfRule>
    <cfRule type="expression" dxfId="50" priority="128">
      <formula>E$12="sab"</formula>
    </cfRule>
  </conditionalFormatting>
  <conditionalFormatting sqref="E15:AI54">
    <cfRule type="expression" dxfId="49" priority="119">
      <formula>E$12="mgg"</formula>
    </cfRule>
    <cfRule type="expression" dxfId="48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5E91-6911-45F6-9C3C-74A1688A1697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AJ15" sqref="AJ15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>
        <f ca="1">DATE(--LEFT(INDIRECT("'Data Murid'!A3"),4),11,1)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5" t="e">
        <f ca="1">'rekap absensi seluruhnya'!C42</f>
        <v>#REF!</v>
      </c>
      <c r="D37" s="27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47" priority="151">
      <formula>E$12="sun"</formula>
    </cfRule>
    <cfRule type="expression" dxfId="46" priority="152">
      <formula>E$12="sat"</formula>
    </cfRule>
  </conditionalFormatting>
  <conditionalFormatting sqref="E13:AI13">
    <cfRule type="expression" dxfId="45" priority="155">
      <formula>E$12="mgg"</formula>
    </cfRule>
    <cfRule type="expression" dxfId="44" priority="156">
      <formula>E$12="sab"</formula>
    </cfRule>
  </conditionalFormatting>
  <conditionalFormatting sqref="E15:AI54">
    <cfRule type="expression" dxfId="43" priority="147">
      <formula>E$12="mgg"</formula>
    </cfRule>
    <cfRule type="expression" dxfId="42" priority="148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93F0-B505-4209-A412-7E87ED0253F7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M61" sqref="M61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>
        <f ca="1">DATE(--LEFT(INDIRECT("'Data Murid'!A3"),4),12,1)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7" t="e">
        <f ca="1">'rekap absensi seluruhnya'!B52</f>
        <v>#REF!</v>
      </c>
      <c r="C47" s="55" t="e">
        <f ca="1">'rekap absensi seluruhnya'!C52</f>
        <v>#REF!</v>
      </c>
      <c r="D47" s="27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41" priority="123">
      <formula>E$12="sun"</formula>
    </cfRule>
    <cfRule type="expression" dxfId="40" priority="124">
      <formula>E$12="sat"</formula>
    </cfRule>
  </conditionalFormatting>
  <conditionalFormatting sqref="E13:AI13">
    <cfRule type="expression" dxfId="39" priority="127">
      <formula>E$12="mgg"</formula>
    </cfRule>
    <cfRule type="expression" dxfId="38" priority="128">
      <formula>E$12="sab"</formula>
    </cfRule>
  </conditionalFormatting>
  <conditionalFormatting sqref="E15:AI54">
    <cfRule type="expression" dxfId="37" priority="119">
      <formula>E$12="mgg"</formula>
    </cfRule>
    <cfRule type="expression" dxfId="36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44CE-E1CE-4168-9CEB-924518A243C3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H63" sqref="H63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 cm="1">
        <f t="array" aca="1" ref="E11" ca="1">DATE(--RIGHT(INDIRECT("'Data Murid'!A3"),4),1,1)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7" t="e">
        <f ca="1">'rekap absensi seluruhnya'!B55</f>
        <v>#REF!</v>
      </c>
      <c r="C50" s="55" t="e">
        <f ca="1">'rekap absensi seluruhnya'!C55</f>
        <v>#REF!</v>
      </c>
      <c r="D50" s="27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35" priority="123">
      <formula>E$12="sun"</formula>
    </cfRule>
    <cfRule type="expression" dxfId="34" priority="124">
      <formula>E$12="sat"</formula>
    </cfRule>
  </conditionalFormatting>
  <conditionalFormatting sqref="E13:AI13">
    <cfRule type="expression" dxfId="33" priority="127">
      <formula>E$12="mgg"</formula>
    </cfRule>
    <cfRule type="expression" dxfId="32" priority="128">
      <formula>E$12="sab"</formula>
    </cfRule>
  </conditionalFormatting>
  <conditionalFormatting sqref="E15:AI54">
    <cfRule type="expression" dxfId="31" priority="119">
      <formula>E$12="mgg"</formula>
    </cfRule>
    <cfRule type="expression" dxfId="30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6991-29E2-4BFB-B79C-2E4A43C591F7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M60" sqref="M60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 cm="1">
        <f t="array" aca="1" ref="E11" ca="1">DATE(--RIGHT(INDIRECT("'Data Murid'!A3"),4),2,1)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7" t="e">
        <f ca="1">'rekap absensi seluruhnya'!B57</f>
        <v>#REF!</v>
      </c>
      <c r="C52" s="55" t="e">
        <f ca="1">'rekap absensi seluruhnya'!C57</f>
        <v>#REF!</v>
      </c>
      <c r="D52" s="27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29" priority="123">
      <formula>E$12="sun"</formula>
    </cfRule>
    <cfRule type="expression" dxfId="28" priority="124">
      <formula>E$12="sat"</formula>
    </cfRule>
  </conditionalFormatting>
  <conditionalFormatting sqref="E13:AI13">
    <cfRule type="expression" dxfId="27" priority="127">
      <formula>E$12="mgg"</formula>
    </cfRule>
    <cfRule type="expression" dxfId="26" priority="128">
      <formula>E$12="sab"</formula>
    </cfRule>
  </conditionalFormatting>
  <conditionalFormatting sqref="E15:AI54">
    <cfRule type="expression" dxfId="25" priority="119">
      <formula>E$12="mgg"</formula>
    </cfRule>
    <cfRule type="expression" dxfId="24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FBA7E-EDF6-4D1B-8BBA-57C9D139B7A4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M64" sqref="M64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 cm="1">
        <f t="array" aca="1" ref="E11" ca="1">DATE(--RIGHT(INDIRECT("'Data Murid'!A3"),4),3,1)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7" t="e">
        <f ca="1">'rekap absensi seluruhnya'!B58</f>
        <v>#REF!</v>
      </c>
      <c r="C53" s="55" t="e">
        <f ca="1">'rekap absensi seluruhnya'!C58</f>
        <v>#REF!</v>
      </c>
      <c r="D53" s="27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23" priority="123">
      <formula>E$12="sun"</formula>
    </cfRule>
    <cfRule type="expression" dxfId="22" priority="124">
      <formula>E$12="sat"</formula>
    </cfRule>
  </conditionalFormatting>
  <conditionalFormatting sqref="E13:AI13">
    <cfRule type="expression" dxfId="21" priority="127">
      <formula>E$12="mgg"</formula>
    </cfRule>
    <cfRule type="expression" dxfId="20" priority="128">
      <formula>E$12="sab"</formula>
    </cfRule>
  </conditionalFormatting>
  <conditionalFormatting sqref="E15:AI54">
    <cfRule type="expression" dxfId="19" priority="119">
      <formula>E$12="mgg"</formula>
    </cfRule>
    <cfRule type="expression" dxfId="18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6CD3-E1D5-45D4-B713-C9BDFF419D18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A14" sqref="A14:AJ14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 cm="1">
        <f t="array" aca="1" ref="E11" ca="1">DATE(--RIGHT(INDIRECT("'Data Murid'!A3"),4),4,1)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7" t="e">
        <f ca="1">'rekap absensi seluruhnya'!B52</f>
        <v>#REF!</v>
      </c>
      <c r="C47" s="55" t="e">
        <f ca="1">'rekap absensi seluruhnya'!C52</f>
        <v>#REF!</v>
      </c>
      <c r="D47" s="27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17" priority="123">
      <formula>E$12="sun"</formula>
    </cfRule>
    <cfRule type="expression" dxfId="16" priority="124">
      <formula>E$12="sat"</formula>
    </cfRule>
  </conditionalFormatting>
  <conditionalFormatting sqref="E13:AI13">
    <cfRule type="expression" dxfId="15" priority="127">
      <formula>E$12="mgg"</formula>
    </cfRule>
    <cfRule type="expression" dxfId="14" priority="128">
      <formula>E$12="sab"</formula>
    </cfRule>
  </conditionalFormatting>
  <conditionalFormatting sqref="E15:AI54">
    <cfRule type="expression" dxfId="13" priority="119">
      <formula>E$12="mgg"</formula>
    </cfRule>
    <cfRule type="expression" dxfId="12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9EDE-CE1F-45D9-ADB6-F730EB09F54C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A14" sqref="A14:AJ14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 cm="1">
        <f t="array" aca="1" ref="E11" ca="1">DATE(--RIGHT(INDIRECT("'Data Murid'!A3"),4),5,1)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7" t="e">
        <f ca="1">'rekap absensi seluruhnya'!B56</f>
        <v>#REF!</v>
      </c>
      <c r="C51" s="55" t="e">
        <f ca="1">'rekap absensi seluruhnya'!C56</f>
        <v>#REF!</v>
      </c>
      <c r="D51" s="27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5" t="e">
        <f ca="1">'rekap absensi seluruhnya'!B57</f>
        <v>#REF!</v>
      </c>
      <c r="C52" s="52" t="e">
        <f ca="1">'rekap absensi seluruhnya'!C57</f>
        <v>#REF!</v>
      </c>
      <c r="D52" s="25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11" priority="123">
      <formula>E$12="sun"</formula>
    </cfRule>
    <cfRule type="expression" dxfId="10" priority="124">
      <formula>E$12="sat"</formula>
    </cfRule>
  </conditionalFormatting>
  <conditionalFormatting sqref="E13:AI13">
    <cfRule type="expression" dxfId="9" priority="127">
      <formula>E$12="mgg"</formula>
    </cfRule>
    <cfRule type="expression" dxfId="8" priority="128">
      <formula>E$12="sab"</formula>
    </cfRule>
  </conditionalFormatting>
  <conditionalFormatting sqref="E15:AI54">
    <cfRule type="expression" dxfId="7" priority="119">
      <formula>E$12="mgg"</formula>
    </cfRule>
    <cfRule type="expression" dxfId="6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8A4F-B9EE-4B37-ADDB-8F11C4C4703B}">
  <sheetPr>
    <pageSetUpPr fitToPage="1"/>
  </sheetPr>
  <dimension ref="A1:AM54"/>
  <sheetViews>
    <sheetView zoomScaleNormal="100" workbookViewId="0">
      <pane xSplit="4" ySplit="12" topLeftCell="E13" activePane="bottomRight" state="frozen"/>
      <selection pane="topRight" activeCell="E1" sqref="E1"/>
      <selection pane="bottomLeft" activeCell="A860" sqref="A860"/>
      <selection pane="bottomRight" activeCell="A14" sqref="A14:AJ14"/>
    </sheetView>
  </sheetViews>
  <sheetFormatPr defaultColWidth="14.42578125" defaultRowHeight="15" customHeight="1" x14ac:dyDescent="0.25"/>
  <cols>
    <col min="1" max="1" width="4.28515625" customWidth="1"/>
    <col min="2" max="2" width="8.140625" hidden="1" customWidth="1"/>
    <col min="3" max="3" width="42.7109375" style="46" customWidth="1"/>
    <col min="4" max="4" width="2.85546875" customWidth="1"/>
    <col min="5" max="5" width="5" customWidth="1"/>
    <col min="6" max="19" width="3.85546875" customWidth="1"/>
    <col min="20" max="20" width="5.140625" customWidth="1"/>
    <col min="21" max="35" width="3.85546875" customWidth="1"/>
    <col min="36" max="36" width="15.140625" customWidth="1"/>
  </cols>
  <sheetData>
    <row r="1" spans="1:36" ht="18" customHeight="1" x14ac:dyDescent="0.25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14.25" customHeight="1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4.25" customHeight="1" x14ac:dyDescent="0.25">
      <c r="A3" s="88" t="s">
        <v>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</row>
    <row r="4" spans="1:36" ht="14.25" customHeight="1" x14ac:dyDescent="0.25">
      <c r="A4" s="90" t="s">
        <v>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</row>
    <row r="5" spans="1:36" ht="11.25" customHeight="1" x14ac:dyDescent="0.3">
      <c r="A5" s="29"/>
      <c r="B5" s="30"/>
      <c r="C5" s="53"/>
      <c r="D5" s="30"/>
      <c r="E5" s="30"/>
      <c r="F5" s="42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5"/>
    </row>
    <row r="6" spans="1:36" ht="14.25" customHeight="1" x14ac:dyDescent="0.25">
      <c r="A6" s="88" t="s">
        <v>4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25">
      <c r="A7" s="88" t="e">
        <f ca="1">'rekap absensi seluruhnya'!E7</f>
        <v>#REF!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</row>
    <row r="8" spans="1:36" x14ac:dyDescent="0.25">
      <c r="A8" s="31"/>
      <c r="B8" s="31"/>
      <c r="C8" s="54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41"/>
    </row>
    <row r="9" spans="1:36" ht="14.25" customHeight="1" x14ac:dyDescent="0.25">
      <c r="A9" s="85" t="s">
        <v>6</v>
      </c>
      <c r="B9" s="12"/>
      <c r="C9" s="85" t="s">
        <v>7</v>
      </c>
      <c r="D9" s="86" t="s">
        <v>8</v>
      </c>
      <c r="E9" s="85" t="s">
        <v>16</v>
      </c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7" t="s">
        <v>17</v>
      </c>
    </row>
    <row r="10" spans="1:36" ht="14.25" customHeight="1" x14ac:dyDescent="0.25">
      <c r="A10" s="85"/>
      <c r="B10" s="12"/>
      <c r="C10" s="85"/>
      <c r="D10" s="86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7"/>
    </row>
    <row r="11" spans="1:36" ht="14.25" customHeight="1" x14ac:dyDescent="0.25">
      <c r="A11" s="85" t="s">
        <v>12</v>
      </c>
      <c r="B11" s="85" t="s">
        <v>13</v>
      </c>
      <c r="C11" s="85"/>
      <c r="D11" s="86"/>
      <c r="E11" s="32" t="e" cm="1">
        <f t="array" aca="1" ref="E11" ca="1">DATE(--RIGHT(INDIRECT("'Data Murid'!A3"),4),6,1)</f>
        <v>#REF!</v>
      </c>
      <c r="F11" s="33" t="e">
        <f ca="1">IF(MONTH(E11+1)=MONTH($E11), E11+1, "")</f>
        <v>#REF!</v>
      </c>
      <c r="G11" s="33" t="e">
        <f t="shared" ref="G11:AI11" ca="1" si="0">IF(MONTH(F11+1)=MONTH($E11), F11+1, "")</f>
        <v>#REF!</v>
      </c>
      <c r="H11" s="33" t="e">
        <f t="shared" ca="1" si="0"/>
        <v>#REF!</v>
      </c>
      <c r="I11" s="33" t="e">
        <f t="shared" ca="1" si="0"/>
        <v>#REF!</v>
      </c>
      <c r="J11" s="33" t="e">
        <f t="shared" ca="1" si="0"/>
        <v>#REF!</v>
      </c>
      <c r="K11" s="33" t="e">
        <f t="shared" ca="1" si="0"/>
        <v>#REF!</v>
      </c>
      <c r="L11" s="33" t="e">
        <f t="shared" ca="1" si="0"/>
        <v>#REF!</v>
      </c>
      <c r="M11" s="33" t="e">
        <f t="shared" ca="1" si="0"/>
        <v>#REF!</v>
      </c>
      <c r="N11" s="33" t="e">
        <f t="shared" ca="1" si="0"/>
        <v>#REF!</v>
      </c>
      <c r="O11" s="33" t="e">
        <f t="shared" ca="1" si="0"/>
        <v>#REF!</v>
      </c>
      <c r="P11" s="33" t="e">
        <f t="shared" ca="1" si="0"/>
        <v>#REF!</v>
      </c>
      <c r="Q11" s="33" t="e">
        <f t="shared" ca="1" si="0"/>
        <v>#REF!</v>
      </c>
      <c r="R11" s="33" t="e">
        <f t="shared" ca="1" si="0"/>
        <v>#REF!</v>
      </c>
      <c r="S11" s="33" t="e">
        <f t="shared" ca="1" si="0"/>
        <v>#REF!</v>
      </c>
      <c r="T11" s="33" t="e">
        <f t="shared" ca="1" si="0"/>
        <v>#REF!</v>
      </c>
      <c r="U11" s="33" t="e">
        <f t="shared" ca="1" si="0"/>
        <v>#REF!</v>
      </c>
      <c r="V11" s="33" t="e">
        <f t="shared" ca="1" si="0"/>
        <v>#REF!</v>
      </c>
      <c r="W11" s="33" t="e">
        <f t="shared" ca="1" si="0"/>
        <v>#REF!</v>
      </c>
      <c r="X11" s="33" t="e">
        <f t="shared" ca="1" si="0"/>
        <v>#REF!</v>
      </c>
      <c r="Y11" s="33" t="e">
        <f t="shared" ca="1" si="0"/>
        <v>#REF!</v>
      </c>
      <c r="Z11" s="33" t="e">
        <f t="shared" ca="1" si="0"/>
        <v>#REF!</v>
      </c>
      <c r="AA11" s="33" t="e">
        <f t="shared" ca="1" si="0"/>
        <v>#REF!</v>
      </c>
      <c r="AB11" s="33" t="e">
        <f t="shared" ca="1" si="0"/>
        <v>#REF!</v>
      </c>
      <c r="AC11" s="33" t="e">
        <f t="shared" ca="1" si="0"/>
        <v>#REF!</v>
      </c>
      <c r="AD11" s="33" t="e">
        <f t="shared" ca="1" si="0"/>
        <v>#REF!</v>
      </c>
      <c r="AE11" s="33" t="e">
        <f t="shared" ca="1" si="0"/>
        <v>#REF!</v>
      </c>
      <c r="AF11" s="33" t="e">
        <f t="shared" ca="1" si="0"/>
        <v>#REF!</v>
      </c>
      <c r="AG11" s="33" t="e">
        <f t="shared" ca="1" si="0"/>
        <v>#REF!</v>
      </c>
      <c r="AH11" s="33" t="e">
        <f t="shared" ca="1" si="0"/>
        <v>#REF!</v>
      </c>
      <c r="AI11" s="33" t="e">
        <f t="shared" ca="1" si="0"/>
        <v>#REF!</v>
      </c>
      <c r="AJ11" s="87"/>
    </row>
    <row r="12" spans="1:36" ht="14.25" customHeight="1" x14ac:dyDescent="0.25">
      <c r="A12" s="85"/>
      <c r="B12" s="85"/>
      <c r="C12" s="85"/>
      <c r="D12" s="86"/>
      <c r="E12" s="34" t="e">
        <f t="shared" ref="E12:AI12" ca="1" si="1">IF(E11="","",TEXT(E11,"[$-id]ddd"))</f>
        <v>#REF!</v>
      </c>
      <c r="F12" s="34" t="e">
        <f t="shared" ca="1" si="1"/>
        <v>#REF!</v>
      </c>
      <c r="G12" s="34" t="e">
        <f t="shared" ca="1" si="1"/>
        <v>#REF!</v>
      </c>
      <c r="H12" s="34" t="e">
        <f t="shared" ca="1" si="1"/>
        <v>#REF!</v>
      </c>
      <c r="I12" s="34" t="e">
        <f t="shared" ca="1" si="1"/>
        <v>#REF!</v>
      </c>
      <c r="J12" s="34" t="e">
        <f t="shared" ca="1" si="1"/>
        <v>#REF!</v>
      </c>
      <c r="K12" s="34" t="e">
        <f t="shared" ca="1" si="1"/>
        <v>#REF!</v>
      </c>
      <c r="L12" s="34" t="e">
        <f t="shared" ca="1" si="1"/>
        <v>#REF!</v>
      </c>
      <c r="M12" s="34" t="e">
        <f t="shared" ca="1" si="1"/>
        <v>#REF!</v>
      </c>
      <c r="N12" s="34" t="e">
        <f t="shared" ca="1" si="1"/>
        <v>#REF!</v>
      </c>
      <c r="O12" s="34" t="e">
        <f t="shared" ca="1" si="1"/>
        <v>#REF!</v>
      </c>
      <c r="P12" s="34" t="e">
        <f t="shared" ca="1" si="1"/>
        <v>#REF!</v>
      </c>
      <c r="Q12" s="34" t="e">
        <f t="shared" ca="1" si="1"/>
        <v>#REF!</v>
      </c>
      <c r="R12" s="34" t="e">
        <f t="shared" ca="1" si="1"/>
        <v>#REF!</v>
      </c>
      <c r="S12" s="34" t="e">
        <f t="shared" ca="1" si="1"/>
        <v>#REF!</v>
      </c>
      <c r="T12" s="34" t="e">
        <f t="shared" ca="1" si="1"/>
        <v>#REF!</v>
      </c>
      <c r="U12" s="34" t="e">
        <f t="shared" ca="1" si="1"/>
        <v>#REF!</v>
      </c>
      <c r="V12" s="34" t="e">
        <f t="shared" ca="1" si="1"/>
        <v>#REF!</v>
      </c>
      <c r="W12" s="34" t="e">
        <f t="shared" ca="1" si="1"/>
        <v>#REF!</v>
      </c>
      <c r="X12" s="34" t="e">
        <f t="shared" ca="1" si="1"/>
        <v>#REF!</v>
      </c>
      <c r="Y12" s="34" t="e">
        <f t="shared" ca="1" si="1"/>
        <v>#REF!</v>
      </c>
      <c r="Z12" s="34" t="e">
        <f t="shared" ca="1" si="1"/>
        <v>#REF!</v>
      </c>
      <c r="AA12" s="34" t="e">
        <f t="shared" ca="1" si="1"/>
        <v>#REF!</v>
      </c>
      <c r="AB12" s="34" t="e">
        <f t="shared" ca="1" si="1"/>
        <v>#REF!</v>
      </c>
      <c r="AC12" s="34" t="e">
        <f t="shared" ca="1" si="1"/>
        <v>#REF!</v>
      </c>
      <c r="AD12" s="34" t="e">
        <f t="shared" ca="1" si="1"/>
        <v>#REF!</v>
      </c>
      <c r="AE12" s="34" t="e">
        <f t="shared" ca="1" si="1"/>
        <v>#REF!</v>
      </c>
      <c r="AF12" s="34" t="e">
        <f t="shared" ca="1" si="1"/>
        <v>#REF!</v>
      </c>
      <c r="AG12" s="34" t="e">
        <f t="shared" ca="1" si="1"/>
        <v>#REF!</v>
      </c>
      <c r="AH12" s="34" t="e">
        <f t="shared" ca="1" si="1"/>
        <v>#REF!</v>
      </c>
      <c r="AI12" s="34" t="e">
        <f t="shared" ca="1" si="1"/>
        <v>#REF!</v>
      </c>
      <c r="AJ12" s="87"/>
    </row>
    <row r="13" spans="1:36" ht="4.5" customHeight="1" x14ac:dyDescent="0.25">
      <c r="A13" s="18"/>
      <c r="B13" s="35"/>
      <c r="C13" s="54"/>
      <c r="D13" s="36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8"/>
    </row>
    <row r="14" spans="1:36" ht="14.25" customHeight="1" x14ac:dyDescent="0.25">
      <c r="A14" s="84" t="e">
        <f ca="1">'rekap absensi seluruhnya'!A19:T19</f>
        <v>#REF!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</row>
    <row r="15" spans="1:36" ht="14.25" customHeight="1" x14ac:dyDescent="0.25">
      <c r="A15" s="25">
        <v>1</v>
      </c>
      <c r="B15" s="25" t="e">
        <f ca="1">'rekap absensi seluruhnya'!B20</f>
        <v>#REF!</v>
      </c>
      <c r="C15" s="52" t="e">
        <f ca="1">'rekap absensi seluruhnya'!C20</f>
        <v>#REF!</v>
      </c>
      <c r="D15" s="25" t="e">
        <f ca="1">'rekap absensi seluruhnya'!D20</f>
        <v>#REF!</v>
      </c>
      <c r="E15" s="44" t="e" cm="1">
        <f t="array" aca="1" ref="E15" ca="1">IF(OR(E$11="", INDIRECT("'Data Murid'!$E" &amp; ROW($E8))=""), "", IF(ISNUMBER(SEARCH(TEXT(E$11,"mm/dd/yyyy"), INDIRECT("'Data Murid'!$E" &amp; ROW($E8)))), "✔", ""))</f>
        <v>#REF!</v>
      </c>
      <c r="F15" s="44" t="e" cm="1">
        <f t="array" aca="1" ref="F15" ca="1">IF(OR(F$11="", INDIRECT("'Data Murid'!$E" &amp; ROW($E8))=""), "", IF(ISNUMBER(SEARCH(TEXT(F$11,"mm/dd/yyyy"), INDIRECT("'Data Murid'!$E" &amp; ROW($E8)))), "✔", ""))</f>
        <v>#REF!</v>
      </c>
      <c r="G15" s="44" t="e" cm="1">
        <f t="array" aca="1" ref="G15" ca="1">IF(OR(G$11="", INDIRECT("'Data Murid'!$E" &amp; ROW($E8))=""), "", IF(ISNUMBER(SEARCH(TEXT(G$11,"mm/dd/yyyy"), INDIRECT("'Data Murid'!$E" &amp; ROW($E8)))), "✔", ""))</f>
        <v>#REF!</v>
      </c>
      <c r="H15" s="44" t="e" cm="1">
        <f t="array" aca="1" ref="H15" ca="1">IF(OR(H$11="", INDIRECT("'Data Murid'!$E" &amp; ROW($E8))=""), "", IF(ISNUMBER(SEARCH(TEXT(H$11,"mm/dd/yyyy"), INDIRECT("'Data Murid'!$E" &amp; ROW($E8)))), "✔", ""))</f>
        <v>#REF!</v>
      </c>
      <c r="I15" s="44" t="e" cm="1">
        <f t="array" aca="1" ref="I15" ca="1">IF(OR(I$11="", INDIRECT("'Data Murid'!$E" &amp; ROW($E8))=""), "", IF(ISNUMBER(SEARCH(TEXT(I$11,"mm/dd/yyyy"), INDIRECT("'Data Murid'!$E" &amp; ROW($E8)))), "✔", ""))</f>
        <v>#REF!</v>
      </c>
      <c r="J15" s="44" t="e" cm="1">
        <f t="array" aca="1" ref="J15" ca="1">IF(OR(J$11="", INDIRECT("'Data Murid'!$E" &amp; ROW($E8))=""), "", IF(ISNUMBER(SEARCH(TEXT(J$11,"mm/dd/yyyy"), INDIRECT("'Data Murid'!$E" &amp; ROW($E8)))), "✔", ""))</f>
        <v>#REF!</v>
      </c>
      <c r="K15" s="44" t="e" cm="1">
        <f t="array" aca="1" ref="K15" ca="1">IF(OR(K$11="", INDIRECT("'Data Murid'!$E" &amp; ROW($E8))=""), "", IF(ISNUMBER(SEARCH(TEXT(K$11,"mm/dd/yyyy"), INDIRECT("'Data Murid'!$E" &amp; ROW($E8)))), "✔", ""))</f>
        <v>#REF!</v>
      </c>
      <c r="L15" s="44" t="e" cm="1">
        <f t="array" aca="1" ref="L15" ca="1">IF(OR(L$11="", INDIRECT("'Data Murid'!$E" &amp; ROW($E8))=""), "", IF(ISNUMBER(SEARCH(TEXT(L$11,"mm/dd/yyyy"), INDIRECT("'Data Murid'!$E" &amp; ROW($E8)))), "✔", ""))</f>
        <v>#REF!</v>
      </c>
      <c r="M15" s="44" t="e" cm="1">
        <f t="array" aca="1" ref="M15" ca="1">IF(OR(M$11="", INDIRECT("'Data Murid'!$E" &amp; ROW($E8))=""), "", IF(ISNUMBER(SEARCH(TEXT(M$11,"mm/dd/yyyy"), INDIRECT("'Data Murid'!$E" &amp; ROW($E8)))), "✔", ""))</f>
        <v>#REF!</v>
      </c>
      <c r="N15" s="44" t="e" cm="1">
        <f t="array" aca="1" ref="N15" ca="1">IF(OR(N$11="", INDIRECT("'Data Murid'!$E" &amp; ROW($E8))=""), "", IF(ISNUMBER(SEARCH(TEXT(N$11,"mm/dd/yyyy"), INDIRECT("'Data Murid'!$E" &amp; ROW($E8)))), "✔", ""))</f>
        <v>#REF!</v>
      </c>
      <c r="O15" s="44" t="e" cm="1">
        <f t="array" aca="1" ref="O15" ca="1">IF(OR(O$11="", INDIRECT("'Data Murid'!$E" &amp; ROW($E8))=""), "", IF(ISNUMBER(SEARCH(TEXT(O$11,"mm/dd/yyyy"), INDIRECT("'Data Murid'!$E" &amp; ROW($E8)))), "✔", ""))</f>
        <v>#REF!</v>
      </c>
      <c r="P15" s="44" t="e" cm="1">
        <f t="array" aca="1" ref="P15" ca="1">IF(OR(P$11="", INDIRECT("'Data Murid'!$E" &amp; ROW($E8))=""), "", IF(ISNUMBER(SEARCH(TEXT(P$11,"mm/dd/yyyy"), INDIRECT("'Data Murid'!$E" &amp; ROW($E8)))), "✔", ""))</f>
        <v>#REF!</v>
      </c>
      <c r="Q15" s="44" t="e" cm="1">
        <f t="array" aca="1" ref="Q15" ca="1">IF(OR(Q$11="", INDIRECT("'Data Murid'!$E" &amp; ROW($E8))=""), "", IF(ISNUMBER(SEARCH(TEXT(Q$11,"mm/dd/yyyy"), INDIRECT("'Data Murid'!$E" &amp; ROW($E8)))), "✔", ""))</f>
        <v>#REF!</v>
      </c>
      <c r="R15" s="44" t="e" cm="1">
        <f t="array" aca="1" ref="R15" ca="1">IF(OR(R$11="", INDIRECT("'Data Murid'!$E" &amp; ROW($E8))=""), "", IF(ISNUMBER(SEARCH(TEXT(R$11,"mm/dd/yyyy"), INDIRECT("'Data Murid'!$E" &amp; ROW($E8)))), "✔", ""))</f>
        <v>#REF!</v>
      </c>
      <c r="S15" s="44" t="e" cm="1">
        <f t="array" aca="1" ref="S15" ca="1">IF(OR(S$11="", INDIRECT("'Data Murid'!$E" &amp; ROW($E8))=""), "", IF(ISNUMBER(SEARCH(TEXT(S$11,"mm/dd/yyyy"), INDIRECT("'Data Murid'!$E" &amp; ROW($E8)))), "✔", ""))</f>
        <v>#REF!</v>
      </c>
      <c r="T15" s="44" t="e" cm="1">
        <f t="array" aca="1" ref="T15" ca="1">IF(OR(T$11="", INDIRECT("'Data Murid'!$E" &amp; ROW($E8))=""), "", IF(ISNUMBER(SEARCH(TEXT(T$11,"mm/dd/yyyy"), INDIRECT("'Data Murid'!$E" &amp; ROW($E8)))), "✔", ""))</f>
        <v>#REF!</v>
      </c>
      <c r="U15" s="44" t="e" cm="1">
        <f t="array" aca="1" ref="U15" ca="1">IF(OR(U$11="", INDIRECT("'Data Murid'!$E" &amp; ROW($E8))=""), "", IF(ISNUMBER(SEARCH(TEXT(U$11,"mm/dd/yyyy"), INDIRECT("'Data Murid'!$E" &amp; ROW($E8)))), "✔", ""))</f>
        <v>#REF!</v>
      </c>
      <c r="V15" s="44" t="e" cm="1">
        <f t="array" aca="1" ref="V15" ca="1">IF(OR(V$11="", INDIRECT("'Data Murid'!$E" &amp; ROW($E8))=""), "", IF(ISNUMBER(SEARCH(TEXT(V$11,"mm/dd/yyyy"), INDIRECT("'Data Murid'!$E" &amp; ROW($E8)))), "✔", ""))</f>
        <v>#REF!</v>
      </c>
      <c r="W15" s="44" t="e" cm="1">
        <f t="array" aca="1" ref="W15" ca="1">IF(OR(W$11="", INDIRECT("'Data Murid'!$E" &amp; ROW($E8))=""), "", IF(ISNUMBER(SEARCH(TEXT(W$11,"mm/dd/yyyy"), INDIRECT("'Data Murid'!$E" &amp; ROW($E8)))), "✔", ""))</f>
        <v>#REF!</v>
      </c>
      <c r="X15" s="44" t="e" cm="1">
        <f t="array" aca="1" ref="X15" ca="1">IF(OR(X$11="", INDIRECT("'Data Murid'!$E" &amp; ROW($E8))=""), "", IF(ISNUMBER(SEARCH(TEXT(X$11,"mm/dd/yyyy"), INDIRECT("'Data Murid'!$E" &amp; ROW($E8)))), "✔", ""))</f>
        <v>#REF!</v>
      </c>
      <c r="Y15" s="44" t="e" cm="1">
        <f t="array" aca="1" ref="Y15" ca="1">IF(OR(Y$11="", INDIRECT("'Data Murid'!$E" &amp; ROW($E8))=""), "", IF(ISNUMBER(SEARCH(TEXT(Y$11,"mm/dd/yyyy"), INDIRECT("'Data Murid'!$E" &amp; ROW($E8)))), "✔", ""))</f>
        <v>#REF!</v>
      </c>
      <c r="Z15" s="44" t="e" cm="1">
        <f t="array" aca="1" ref="Z15" ca="1">IF(OR(Z$11="", INDIRECT("'Data Murid'!$E" &amp; ROW($E8))=""), "", IF(ISNUMBER(SEARCH(TEXT(Z$11,"mm/dd/yyyy"), INDIRECT("'Data Murid'!$E" &amp; ROW($E8)))), "✔", ""))</f>
        <v>#REF!</v>
      </c>
      <c r="AA15" s="44" t="e" cm="1">
        <f t="array" aca="1" ref="AA15" ca="1">IF(OR(AA$11="", INDIRECT("'Data Murid'!$E" &amp; ROW($E8))=""), "", IF(ISNUMBER(SEARCH(TEXT(AA$11,"mm/dd/yyyy"), INDIRECT("'Data Murid'!$E" &amp; ROW($E8)))), "✔", ""))</f>
        <v>#REF!</v>
      </c>
      <c r="AB15" s="44" t="e" cm="1">
        <f t="array" aca="1" ref="AB15" ca="1">IF(OR(AB$11="", INDIRECT("'Data Murid'!$E" &amp; ROW($E8))=""), "", IF(ISNUMBER(SEARCH(TEXT(AB$11,"mm/dd/yyyy"), INDIRECT("'Data Murid'!$E" &amp; ROW($E8)))), "✔", ""))</f>
        <v>#REF!</v>
      </c>
      <c r="AC15" s="44" t="e" cm="1">
        <f t="array" aca="1" ref="AC15" ca="1">IF(OR(AC$11="", INDIRECT("'Data Murid'!$E" &amp; ROW($E8))=""), "", IF(ISNUMBER(SEARCH(TEXT(AC$11,"mm/dd/yyyy"), INDIRECT("'Data Murid'!$E" &amp; ROW($E8)))), "✔", ""))</f>
        <v>#REF!</v>
      </c>
      <c r="AD15" s="44" t="e" cm="1">
        <f t="array" aca="1" ref="AD15" ca="1">IF(OR(AD$11="", INDIRECT("'Data Murid'!$E" &amp; ROW($E8))=""), "", IF(ISNUMBER(SEARCH(TEXT(AD$11,"mm/dd/yyyy"), INDIRECT("'Data Murid'!$E" &amp; ROW($E8)))), "✔", ""))</f>
        <v>#REF!</v>
      </c>
      <c r="AE15" s="44" t="e" cm="1">
        <f t="array" aca="1" ref="AE15" ca="1">IF(OR(AE$11="", INDIRECT("'Data Murid'!$E" &amp; ROW($E8))=""), "", IF(ISNUMBER(SEARCH(TEXT(AE$11,"mm/dd/yyyy"), INDIRECT("'Data Murid'!$E" &amp; ROW($E8)))), "✔", ""))</f>
        <v>#REF!</v>
      </c>
      <c r="AF15" s="44" t="e" cm="1">
        <f t="array" aca="1" ref="AF15" ca="1">IF(OR(AF$11="", INDIRECT("'Data Murid'!$E" &amp; ROW($E8))=""), "", IF(ISNUMBER(SEARCH(TEXT(AF$11,"mm/dd/yyyy"), INDIRECT("'Data Murid'!$E" &amp; ROW($E8)))), "✔", ""))</f>
        <v>#REF!</v>
      </c>
      <c r="AG15" s="44" t="e" cm="1">
        <f t="array" aca="1" ref="AG15" ca="1">IF(OR(AG$11="", INDIRECT("'Data Murid'!$E" &amp; ROW($E8))=""), "", IF(ISNUMBER(SEARCH(TEXT(AG$11,"mm/dd/yyyy"), INDIRECT("'Data Murid'!$E" &amp; ROW($E8)))), "✔", ""))</f>
        <v>#REF!</v>
      </c>
      <c r="AH15" s="44" t="e" cm="1">
        <f t="array" aca="1" ref="AH15" ca="1">IF(OR(AH$11="", INDIRECT("'Data Murid'!$E" &amp; ROW($E8))=""), "", IF(ISNUMBER(SEARCH(TEXT(AH$11,"mm/dd/yyyy"), INDIRECT("'Data Murid'!$E" &amp; ROW($E8)))), "✔", ""))</f>
        <v>#REF!</v>
      </c>
      <c r="AI15" s="44" t="e" cm="1">
        <f t="array" aca="1" ref="AI15" ca="1">IF(OR(AI$11="", INDIRECT("'Data Murid'!$E" &amp; ROW($E8))=""), "", IF(ISNUMBER(SEARCH(TEXT(AI$11,"mm/dd/yyyy"), INDIRECT("'Data Murid'!$E" &amp; ROW($E8)))), "✔", ""))</f>
        <v>#REF!</v>
      </c>
      <c r="AJ15" s="39">
        <f t="shared" ref="AJ15:AJ54" ca="1" si="2">COUNTIF(E15:AI15, "✔")</f>
        <v>0</v>
      </c>
    </row>
    <row r="16" spans="1:36" ht="14.25" customHeight="1" x14ac:dyDescent="0.25">
      <c r="A16" s="27">
        <v>2</v>
      </c>
      <c r="B16" s="25" t="e">
        <f ca="1">'rekap absensi seluruhnya'!B21</f>
        <v>#REF!</v>
      </c>
      <c r="C16" s="52" t="e">
        <f ca="1">'rekap absensi seluruhnya'!C21</f>
        <v>#REF!</v>
      </c>
      <c r="D16" s="25" t="e">
        <f ca="1">'rekap absensi seluruhnya'!D21</f>
        <v>#REF!</v>
      </c>
      <c r="E16" s="44" t="e" cm="1">
        <f t="array" aca="1" ref="E16" ca="1">IF(OR(E$11="", INDIRECT("'Data Murid'!$E" &amp; ROW($E9))=""), "", IF(ISNUMBER(SEARCH(TEXT(E$11,"mm/dd/yyyy"), INDIRECT("'Data Murid'!$E" &amp; ROW($E9)))), "✔", ""))</f>
        <v>#REF!</v>
      </c>
      <c r="F16" s="44" t="e" cm="1">
        <f t="array" aca="1" ref="F16" ca="1">IF(OR(F$11="", INDIRECT("'Data Murid'!$E" &amp; ROW($E9))=""), "", IF(ISNUMBER(SEARCH(TEXT(F$11,"mm/dd/yyyy"), INDIRECT("'Data Murid'!$E" &amp; ROW($E9)))), "✔", ""))</f>
        <v>#REF!</v>
      </c>
      <c r="G16" s="44" t="e" cm="1">
        <f t="array" aca="1" ref="G16" ca="1">IF(OR(G$11="", INDIRECT("'Data Murid'!$E" &amp; ROW($E9))=""), "", IF(ISNUMBER(SEARCH(TEXT(G$11,"mm/dd/yyyy"), INDIRECT("'Data Murid'!$E" &amp; ROW($E9)))), "✔", ""))</f>
        <v>#REF!</v>
      </c>
      <c r="H16" s="44" t="e" cm="1">
        <f t="array" aca="1" ref="H16" ca="1">IF(OR(H$11="", INDIRECT("'Data Murid'!$E" &amp; ROW($E9))=""), "", IF(ISNUMBER(SEARCH(TEXT(H$11,"mm/dd/yyyy"), INDIRECT("'Data Murid'!$E" &amp; ROW($E9)))), "✔", ""))</f>
        <v>#REF!</v>
      </c>
      <c r="I16" s="44" t="e" cm="1">
        <f t="array" aca="1" ref="I16" ca="1">IF(OR(I$11="", INDIRECT("'Data Murid'!$E" &amp; ROW($E9))=""), "", IF(ISNUMBER(SEARCH(TEXT(I$11,"mm/dd/yyyy"), INDIRECT("'Data Murid'!$E" &amp; ROW($E9)))), "✔", ""))</f>
        <v>#REF!</v>
      </c>
      <c r="J16" s="44" t="e" cm="1">
        <f t="array" aca="1" ref="J16" ca="1">IF(OR(J$11="", INDIRECT("'Data Murid'!$E" &amp; ROW($E9))=""), "", IF(ISNUMBER(SEARCH(TEXT(J$11,"mm/dd/yyyy"), INDIRECT("'Data Murid'!$E" &amp; ROW($E9)))), "✔", ""))</f>
        <v>#REF!</v>
      </c>
      <c r="K16" s="44" t="e" cm="1">
        <f t="array" aca="1" ref="K16" ca="1">IF(OR(K$11="", INDIRECT("'Data Murid'!$E" &amp; ROW($E9))=""), "", IF(ISNUMBER(SEARCH(TEXT(K$11,"mm/dd/yyyy"), INDIRECT("'Data Murid'!$E" &amp; ROW($E9)))), "✔", ""))</f>
        <v>#REF!</v>
      </c>
      <c r="L16" s="44" t="e" cm="1">
        <f t="array" aca="1" ref="L16" ca="1">IF(OR(L$11="", INDIRECT("'Data Murid'!$E" &amp; ROW($E9))=""), "", IF(ISNUMBER(SEARCH(TEXT(L$11,"mm/dd/yyyy"), INDIRECT("'Data Murid'!$E" &amp; ROW($E9)))), "✔", ""))</f>
        <v>#REF!</v>
      </c>
      <c r="M16" s="44" t="e" cm="1">
        <f t="array" aca="1" ref="M16" ca="1">IF(OR(M$11="", INDIRECT("'Data Murid'!$E" &amp; ROW($E9))=""), "", IF(ISNUMBER(SEARCH(TEXT(M$11,"mm/dd/yyyy"), INDIRECT("'Data Murid'!$E" &amp; ROW($E9)))), "✔", ""))</f>
        <v>#REF!</v>
      </c>
      <c r="N16" s="44" t="e" cm="1">
        <f t="array" aca="1" ref="N16" ca="1">IF(OR(N$11="", INDIRECT("'Data Murid'!$E" &amp; ROW($E9))=""), "", IF(ISNUMBER(SEARCH(TEXT(N$11,"mm/dd/yyyy"), INDIRECT("'Data Murid'!$E" &amp; ROW($E9)))), "✔", ""))</f>
        <v>#REF!</v>
      </c>
      <c r="O16" s="44" t="e" cm="1">
        <f t="array" aca="1" ref="O16" ca="1">IF(OR(O$11="", INDIRECT("'Data Murid'!$E" &amp; ROW($E9))=""), "", IF(ISNUMBER(SEARCH(TEXT(O$11,"mm/dd/yyyy"), INDIRECT("'Data Murid'!$E" &amp; ROW($E9)))), "✔", ""))</f>
        <v>#REF!</v>
      </c>
      <c r="P16" s="44" t="e" cm="1">
        <f t="array" aca="1" ref="P16" ca="1">IF(OR(P$11="", INDIRECT("'Data Murid'!$E" &amp; ROW($E9))=""), "", IF(ISNUMBER(SEARCH(TEXT(P$11,"mm/dd/yyyy"), INDIRECT("'Data Murid'!$E" &amp; ROW($E9)))), "✔", ""))</f>
        <v>#REF!</v>
      </c>
      <c r="Q16" s="44" t="e" cm="1">
        <f t="array" aca="1" ref="Q16" ca="1">IF(OR(Q$11="", INDIRECT("'Data Murid'!$E" &amp; ROW($E9))=""), "", IF(ISNUMBER(SEARCH(TEXT(Q$11,"mm/dd/yyyy"), INDIRECT("'Data Murid'!$E" &amp; ROW($E9)))), "✔", ""))</f>
        <v>#REF!</v>
      </c>
      <c r="R16" s="44" t="e" cm="1">
        <f t="array" aca="1" ref="R16" ca="1">IF(OR(R$11="", INDIRECT("'Data Murid'!$E" &amp; ROW($E9))=""), "", IF(ISNUMBER(SEARCH(TEXT(R$11,"mm/dd/yyyy"), INDIRECT("'Data Murid'!$E" &amp; ROW($E9)))), "✔", ""))</f>
        <v>#REF!</v>
      </c>
      <c r="S16" s="44" t="e" cm="1">
        <f t="array" aca="1" ref="S16" ca="1">IF(OR(S$11="", INDIRECT("'Data Murid'!$E" &amp; ROW($E9))=""), "", IF(ISNUMBER(SEARCH(TEXT(S$11,"mm/dd/yyyy"), INDIRECT("'Data Murid'!$E" &amp; ROW($E9)))), "✔", ""))</f>
        <v>#REF!</v>
      </c>
      <c r="T16" s="44" t="e" cm="1">
        <f t="array" aca="1" ref="T16" ca="1">IF(OR(T$11="", INDIRECT("'Data Murid'!$E" &amp; ROW($E9))=""), "", IF(ISNUMBER(SEARCH(TEXT(T$11,"mm/dd/yyyy"), INDIRECT("'Data Murid'!$E" &amp; ROW($E9)))), "✔", ""))</f>
        <v>#REF!</v>
      </c>
      <c r="U16" s="44" t="e" cm="1">
        <f t="array" aca="1" ref="U16" ca="1">IF(OR(U$11="", INDIRECT("'Data Murid'!$E" &amp; ROW($E9))=""), "", IF(ISNUMBER(SEARCH(TEXT(U$11,"mm/dd/yyyy"), INDIRECT("'Data Murid'!$E" &amp; ROW($E9)))), "✔", ""))</f>
        <v>#REF!</v>
      </c>
      <c r="V16" s="44" t="e" cm="1">
        <f t="array" aca="1" ref="V16" ca="1">IF(OR(V$11="", INDIRECT("'Data Murid'!$E" &amp; ROW($E9))=""), "", IF(ISNUMBER(SEARCH(TEXT(V$11,"mm/dd/yyyy"), INDIRECT("'Data Murid'!$E" &amp; ROW($E9)))), "✔", ""))</f>
        <v>#REF!</v>
      </c>
      <c r="W16" s="44" t="e" cm="1">
        <f t="array" aca="1" ref="W16" ca="1">IF(OR(W$11="", INDIRECT("'Data Murid'!$E" &amp; ROW($E9))=""), "", IF(ISNUMBER(SEARCH(TEXT(W$11,"mm/dd/yyyy"), INDIRECT("'Data Murid'!$E" &amp; ROW($E9)))), "✔", ""))</f>
        <v>#REF!</v>
      </c>
      <c r="X16" s="44" t="e" cm="1">
        <f t="array" aca="1" ref="X16" ca="1">IF(OR(X$11="", INDIRECT("'Data Murid'!$E" &amp; ROW($E9))=""), "", IF(ISNUMBER(SEARCH(TEXT(X$11,"mm/dd/yyyy"), INDIRECT("'Data Murid'!$E" &amp; ROW($E9)))), "✔", ""))</f>
        <v>#REF!</v>
      </c>
      <c r="Y16" s="44" t="e" cm="1">
        <f t="array" aca="1" ref="Y16" ca="1">IF(OR(Y$11="", INDIRECT("'Data Murid'!$E" &amp; ROW($E9))=""), "", IF(ISNUMBER(SEARCH(TEXT(Y$11,"mm/dd/yyyy"), INDIRECT("'Data Murid'!$E" &amp; ROW($E9)))), "✔", ""))</f>
        <v>#REF!</v>
      </c>
      <c r="Z16" s="44" t="e" cm="1">
        <f t="array" aca="1" ref="Z16" ca="1">IF(OR(Z$11="", INDIRECT("'Data Murid'!$E" &amp; ROW($E9))=""), "", IF(ISNUMBER(SEARCH(TEXT(Z$11,"mm/dd/yyyy"), INDIRECT("'Data Murid'!$E" &amp; ROW($E9)))), "✔", ""))</f>
        <v>#REF!</v>
      </c>
      <c r="AA16" s="44" t="e" cm="1">
        <f t="array" aca="1" ref="AA16" ca="1">IF(OR(AA$11="", INDIRECT("'Data Murid'!$E" &amp; ROW($E9))=""), "", IF(ISNUMBER(SEARCH(TEXT(AA$11,"mm/dd/yyyy"), INDIRECT("'Data Murid'!$E" &amp; ROW($E9)))), "✔", ""))</f>
        <v>#REF!</v>
      </c>
      <c r="AB16" s="44" t="e" cm="1">
        <f t="array" aca="1" ref="AB16" ca="1">IF(OR(AB$11="", INDIRECT("'Data Murid'!$E" &amp; ROW($E9))=""), "", IF(ISNUMBER(SEARCH(TEXT(AB$11,"mm/dd/yyyy"), INDIRECT("'Data Murid'!$E" &amp; ROW($E9)))), "✔", ""))</f>
        <v>#REF!</v>
      </c>
      <c r="AC16" s="44" t="e" cm="1">
        <f t="array" aca="1" ref="AC16" ca="1">IF(OR(AC$11="", INDIRECT("'Data Murid'!$E" &amp; ROW($E9))=""), "", IF(ISNUMBER(SEARCH(TEXT(AC$11,"mm/dd/yyyy"), INDIRECT("'Data Murid'!$E" &amp; ROW($E9)))), "✔", ""))</f>
        <v>#REF!</v>
      </c>
      <c r="AD16" s="44" t="e" cm="1">
        <f t="array" aca="1" ref="AD16" ca="1">IF(OR(AD$11="", INDIRECT("'Data Murid'!$E" &amp; ROW($E9))=""), "", IF(ISNUMBER(SEARCH(TEXT(AD$11,"mm/dd/yyyy"), INDIRECT("'Data Murid'!$E" &amp; ROW($E9)))), "✔", ""))</f>
        <v>#REF!</v>
      </c>
      <c r="AE16" s="44" t="e" cm="1">
        <f t="array" aca="1" ref="AE16" ca="1">IF(OR(AE$11="", INDIRECT("'Data Murid'!$E" &amp; ROW($E9))=""), "", IF(ISNUMBER(SEARCH(TEXT(AE$11,"mm/dd/yyyy"), INDIRECT("'Data Murid'!$E" &amp; ROW($E9)))), "✔", ""))</f>
        <v>#REF!</v>
      </c>
      <c r="AF16" s="44" t="e" cm="1">
        <f t="array" aca="1" ref="AF16" ca="1">IF(OR(AF$11="", INDIRECT("'Data Murid'!$E" &amp; ROW($E9))=""), "", IF(ISNUMBER(SEARCH(TEXT(AF$11,"mm/dd/yyyy"), INDIRECT("'Data Murid'!$E" &amp; ROW($E9)))), "✔", ""))</f>
        <v>#REF!</v>
      </c>
      <c r="AG16" s="44" t="e" cm="1">
        <f t="array" aca="1" ref="AG16" ca="1">IF(OR(AG$11="", INDIRECT("'Data Murid'!$E" &amp; ROW($E9))=""), "", IF(ISNUMBER(SEARCH(TEXT(AG$11,"mm/dd/yyyy"), INDIRECT("'Data Murid'!$E" &amp; ROW($E9)))), "✔", ""))</f>
        <v>#REF!</v>
      </c>
      <c r="AH16" s="44" t="e" cm="1">
        <f t="array" aca="1" ref="AH16" ca="1">IF(OR(AH$11="", INDIRECT("'Data Murid'!$E" &amp; ROW($E9))=""), "", IF(ISNUMBER(SEARCH(TEXT(AH$11,"mm/dd/yyyy"), INDIRECT("'Data Murid'!$E" &amp; ROW($E9)))), "✔", ""))</f>
        <v>#REF!</v>
      </c>
      <c r="AI16" s="44" t="e" cm="1">
        <f t="array" aca="1" ref="AI16" ca="1">IF(OR(AI$11="", INDIRECT("'Data Murid'!$E" &amp; ROW($E9))=""), "", IF(ISNUMBER(SEARCH(TEXT(AI$11,"mm/dd/yyyy"), INDIRECT("'Data Murid'!$E" &amp; ROW($E9)))), "✔", ""))</f>
        <v>#REF!</v>
      </c>
      <c r="AJ16" s="40">
        <f t="shared" ca="1" si="2"/>
        <v>0</v>
      </c>
    </row>
    <row r="17" spans="1:39" ht="14.25" customHeight="1" x14ac:dyDescent="0.25">
      <c r="A17" s="27">
        <v>3</v>
      </c>
      <c r="B17" s="25" t="e">
        <f ca="1">'rekap absensi seluruhnya'!B22</f>
        <v>#REF!</v>
      </c>
      <c r="C17" s="52" t="e">
        <f ca="1">'rekap absensi seluruhnya'!C22</f>
        <v>#REF!</v>
      </c>
      <c r="D17" s="25" t="e">
        <f ca="1">'rekap absensi seluruhnya'!D22</f>
        <v>#REF!</v>
      </c>
      <c r="E17" s="44" t="e" cm="1">
        <f t="array" aca="1" ref="E17" ca="1">IF(OR(E$11="", INDIRECT("'Data Murid'!$E" &amp; ROW($E10))=""), "", IF(ISNUMBER(SEARCH(TEXT(E$11,"mm/dd/yyyy"), INDIRECT("'Data Murid'!$E" &amp; ROW($E10)))), "✔", ""))</f>
        <v>#REF!</v>
      </c>
      <c r="F17" s="44" t="e" cm="1">
        <f t="array" aca="1" ref="F17" ca="1">IF(OR(F$11="", INDIRECT("'Data Murid'!$E" &amp; ROW($E10))=""), "", IF(ISNUMBER(SEARCH(TEXT(F$11,"mm/dd/yyyy"), INDIRECT("'Data Murid'!$E" &amp; ROW($E10)))), "✔", ""))</f>
        <v>#REF!</v>
      </c>
      <c r="G17" s="44" t="e" cm="1">
        <f t="array" aca="1" ref="G17" ca="1">IF(OR(G$11="", INDIRECT("'Data Murid'!$E" &amp; ROW($E10))=""), "", IF(ISNUMBER(SEARCH(TEXT(G$11,"mm/dd/yyyy"), INDIRECT("'Data Murid'!$E" &amp; ROW($E10)))), "✔", ""))</f>
        <v>#REF!</v>
      </c>
      <c r="H17" s="44" t="e" cm="1">
        <f t="array" aca="1" ref="H17" ca="1">IF(OR(H$11="", INDIRECT("'Data Murid'!$E" &amp; ROW($E10))=""), "", IF(ISNUMBER(SEARCH(TEXT(H$11,"mm/dd/yyyy"), INDIRECT("'Data Murid'!$E" &amp; ROW($E10)))), "✔", ""))</f>
        <v>#REF!</v>
      </c>
      <c r="I17" s="44" t="e" cm="1">
        <f t="array" aca="1" ref="I17" ca="1">IF(OR(I$11="", INDIRECT("'Data Murid'!$E" &amp; ROW($E10))=""), "", IF(ISNUMBER(SEARCH(TEXT(I$11,"mm/dd/yyyy"), INDIRECT("'Data Murid'!$E" &amp; ROW($E10)))), "✔", ""))</f>
        <v>#REF!</v>
      </c>
      <c r="J17" s="44" t="e" cm="1">
        <f t="array" aca="1" ref="J17" ca="1">IF(OR(J$11="", INDIRECT("'Data Murid'!$E" &amp; ROW($E10))=""), "", IF(ISNUMBER(SEARCH(TEXT(J$11,"mm/dd/yyyy"), INDIRECT("'Data Murid'!$E" &amp; ROW($E10)))), "✔", ""))</f>
        <v>#REF!</v>
      </c>
      <c r="K17" s="44" t="e" cm="1">
        <f t="array" aca="1" ref="K17" ca="1">IF(OR(K$11="", INDIRECT("'Data Murid'!$E" &amp; ROW($E10))=""), "", IF(ISNUMBER(SEARCH(TEXT(K$11,"mm/dd/yyyy"), INDIRECT("'Data Murid'!$E" &amp; ROW($E10)))), "✔", ""))</f>
        <v>#REF!</v>
      </c>
      <c r="L17" s="44" t="e" cm="1">
        <f t="array" aca="1" ref="L17" ca="1">IF(OR(L$11="", INDIRECT("'Data Murid'!$E" &amp; ROW($E10))=""), "", IF(ISNUMBER(SEARCH(TEXT(L$11,"mm/dd/yyyy"), INDIRECT("'Data Murid'!$E" &amp; ROW($E10)))), "✔", ""))</f>
        <v>#REF!</v>
      </c>
      <c r="M17" s="44" t="e" cm="1">
        <f t="array" aca="1" ref="M17" ca="1">IF(OR(M$11="", INDIRECT("'Data Murid'!$E" &amp; ROW($E10))=""), "", IF(ISNUMBER(SEARCH(TEXT(M$11,"mm/dd/yyyy"), INDIRECT("'Data Murid'!$E" &amp; ROW($E10)))), "✔", ""))</f>
        <v>#REF!</v>
      </c>
      <c r="N17" s="44" t="e" cm="1">
        <f t="array" aca="1" ref="N17" ca="1">IF(OR(N$11="", INDIRECT("'Data Murid'!$E" &amp; ROW($E10))=""), "", IF(ISNUMBER(SEARCH(TEXT(N$11,"mm/dd/yyyy"), INDIRECT("'Data Murid'!$E" &amp; ROW($E10)))), "✔", ""))</f>
        <v>#REF!</v>
      </c>
      <c r="O17" s="44" t="e" cm="1">
        <f t="array" aca="1" ref="O17" ca="1">IF(OR(O$11="", INDIRECT("'Data Murid'!$E" &amp; ROW($E10))=""), "", IF(ISNUMBER(SEARCH(TEXT(O$11,"mm/dd/yyyy"), INDIRECT("'Data Murid'!$E" &amp; ROW($E10)))), "✔", ""))</f>
        <v>#REF!</v>
      </c>
      <c r="P17" s="44" t="e" cm="1">
        <f t="array" aca="1" ref="P17" ca="1">IF(OR(P$11="", INDIRECT("'Data Murid'!$E" &amp; ROW($E10))=""), "", IF(ISNUMBER(SEARCH(TEXT(P$11,"mm/dd/yyyy"), INDIRECT("'Data Murid'!$E" &amp; ROW($E10)))), "✔", ""))</f>
        <v>#REF!</v>
      </c>
      <c r="Q17" s="44" t="e" cm="1">
        <f t="array" aca="1" ref="Q17" ca="1">IF(OR(Q$11="", INDIRECT("'Data Murid'!$E" &amp; ROW($E10))=""), "", IF(ISNUMBER(SEARCH(TEXT(Q$11,"mm/dd/yyyy"), INDIRECT("'Data Murid'!$E" &amp; ROW($E10)))), "✔", ""))</f>
        <v>#REF!</v>
      </c>
      <c r="R17" s="44" t="e" cm="1">
        <f t="array" aca="1" ref="R17" ca="1">IF(OR(R$11="", INDIRECT("'Data Murid'!$E" &amp; ROW($E10))=""), "", IF(ISNUMBER(SEARCH(TEXT(R$11,"mm/dd/yyyy"), INDIRECT("'Data Murid'!$E" &amp; ROW($E10)))), "✔", ""))</f>
        <v>#REF!</v>
      </c>
      <c r="S17" s="44" t="e" cm="1">
        <f t="array" aca="1" ref="S17" ca="1">IF(OR(S$11="", INDIRECT("'Data Murid'!$E" &amp; ROW($E10))=""), "", IF(ISNUMBER(SEARCH(TEXT(S$11,"mm/dd/yyyy"), INDIRECT("'Data Murid'!$E" &amp; ROW($E10)))), "✔", ""))</f>
        <v>#REF!</v>
      </c>
      <c r="T17" s="44" t="e" cm="1">
        <f t="array" aca="1" ref="T17" ca="1">IF(OR(T$11="", INDIRECT("'Data Murid'!$E" &amp; ROW($E10))=""), "", IF(ISNUMBER(SEARCH(TEXT(T$11,"mm/dd/yyyy"), INDIRECT("'Data Murid'!$E" &amp; ROW($E10)))), "✔", ""))</f>
        <v>#REF!</v>
      </c>
      <c r="U17" s="44" t="e" cm="1">
        <f t="array" aca="1" ref="U17" ca="1">IF(OR(U$11="", INDIRECT("'Data Murid'!$E" &amp; ROW($E10))=""), "", IF(ISNUMBER(SEARCH(TEXT(U$11,"mm/dd/yyyy"), INDIRECT("'Data Murid'!$E" &amp; ROW($E10)))), "✔", ""))</f>
        <v>#REF!</v>
      </c>
      <c r="V17" s="44" t="e" cm="1">
        <f t="array" aca="1" ref="V17" ca="1">IF(OR(V$11="", INDIRECT("'Data Murid'!$E" &amp; ROW($E10))=""), "", IF(ISNUMBER(SEARCH(TEXT(V$11,"mm/dd/yyyy"), INDIRECT("'Data Murid'!$E" &amp; ROW($E10)))), "✔", ""))</f>
        <v>#REF!</v>
      </c>
      <c r="W17" s="44" t="e" cm="1">
        <f t="array" aca="1" ref="W17" ca="1">IF(OR(W$11="", INDIRECT("'Data Murid'!$E" &amp; ROW($E10))=""), "", IF(ISNUMBER(SEARCH(TEXT(W$11,"mm/dd/yyyy"), INDIRECT("'Data Murid'!$E" &amp; ROW($E10)))), "✔", ""))</f>
        <v>#REF!</v>
      </c>
      <c r="X17" s="44" t="e" cm="1">
        <f t="array" aca="1" ref="X17" ca="1">IF(OR(X$11="", INDIRECT("'Data Murid'!$E" &amp; ROW($E10))=""), "", IF(ISNUMBER(SEARCH(TEXT(X$11,"mm/dd/yyyy"), INDIRECT("'Data Murid'!$E" &amp; ROW($E10)))), "✔", ""))</f>
        <v>#REF!</v>
      </c>
      <c r="Y17" s="44" t="e" cm="1">
        <f t="array" aca="1" ref="Y17" ca="1">IF(OR(Y$11="", INDIRECT("'Data Murid'!$E" &amp; ROW($E10))=""), "", IF(ISNUMBER(SEARCH(TEXT(Y$11,"mm/dd/yyyy"), INDIRECT("'Data Murid'!$E" &amp; ROW($E10)))), "✔", ""))</f>
        <v>#REF!</v>
      </c>
      <c r="Z17" s="44" t="e" cm="1">
        <f t="array" aca="1" ref="Z17" ca="1">IF(OR(Z$11="", INDIRECT("'Data Murid'!$E" &amp; ROW($E10))=""), "", IF(ISNUMBER(SEARCH(TEXT(Z$11,"mm/dd/yyyy"), INDIRECT("'Data Murid'!$E" &amp; ROW($E10)))), "✔", ""))</f>
        <v>#REF!</v>
      </c>
      <c r="AA17" s="44" t="e" cm="1">
        <f t="array" aca="1" ref="AA17" ca="1">IF(OR(AA$11="", INDIRECT("'Data Murid'!$E" &amp; ROW($E10))=""), "", IF(ISNUMBER(SEARCH(TEXT(AA$11,"mm/dd/yyyy"), INDIRECT("'Data Murid'!$E" &amp; ROW($E10)))), "✔", ""))</f>
        <v>#REF!</v>
      </c>
      <c r="AB17" s="44" t="e" cm="1">
        <f t="array" aca="1" ref="AB17" ca="1">IF(OR(AB$11="", INDIRECT("'Data Murid'!$E" &amp; ROW($E10))=""), "", IF(ISNUMBER(SEARCH(TEXT(AB$11,"mm/dd/yyyy"), INDIRECT("'Data Murid'!$E" &amp; ROW($E10)))), "✔", ""))</f>
        <v>#REF!</v>
      </c>
      <c r="AC17" s="44" t="e" cm="1">
        <f t="array" aca="1" ref="AC17" ca="1">IF(OR(AC$11="", INDIRECT("'Data Murid'!$E" &amp; ROW($E10))=""), "", IF(ISNUMBER(SEARCH(TEXT(AC$11,"mm/dd/yyyy"), INDIRECT("'Data Murid'!$E" &amp; ROW($E10)))), "✔", ""))</f>
        <v>#REF!</v>
      </c>
      <c r="AD17" s="44" t="e" cm="1">
        <f t="array" aca="1" ref="AD17" ca="1">IF(OR(AD$11="", INDIRECT("'Data Murid'!$E" &amp; ROW($E10))=""), "", IF(ISNUMBER(SEARCH(TEXT(AD$11,"mm/dd/yyyy"), INDIRECT("'Data Murid'!$E" &amp; ROW($E10)))), "✔", ""))</f>
        <v>#REF!</v>
      </c>
      <c r="AE17" s="44" t="e" cm="1">
        <f t="array" aca="1" ref="AE17" ca="1">IF(OR(AE$11="", INDIRECT("'Data Murid'!$E" &amp; ROW($E10))=""), "", IF(ISNUMBER(SEARCH(TEXT(AE$11,"mm/dd/yyyy"), INDIRECT("'Data Murid'!$E" &amp; ROW($E10)))), "✔", ""))</f>
        <v>#REF!</v>
      </c>
      <c r="AF17" s="44" t="e" cm="1">
        <f t="array" aca="1" ref="AF17" ca="1">IF(OR(AF$11="", INDIRECT("'Data Murid'!$E" &amp; ROW($E10))=""), "", IF(ISNUMBER(SEARCH(TEXT(AF$11,"mm/dd/yyyy"), INDIRECT("'Data Murid'!$E" &amp; ROW($E10)))), "✔", ""))</f>
        <v>#REF!</v>
      </c>
      <c r="AG17" s="44" t="e" cm="1">
        <f t="array" aca="1" ref="AG17" ca="1">IF(OR(AG$11="", INDIRECT("'Data Murid'!$E" &amp; ROW($E10))=""), "", IF(ISNUMBER(SEARCH(TEXT(AG$11,"mm/dd/yyyy"), INDIRECT("'Data Murid'!$E" &amp; ROW($E10)))), "✔", ""))</f>
        <v>#REF!</v>
      </c>
      <c r="AH17" s="44" t="e" cm="1">
        <f t="array" aca="1" ref="AH17" ca="1">IF(OR(AH$11="", INDIRECT("'Data Murid'!$E" &amp; ROW($E10))=""), "", IF(ISNUMBER(SEARCH(TEXT(AH$11,"mm/dd/yyyy"), INDIRECT("'Data Murid'!$E" &amp; ROW($E10)))), "✔", ""))</f>
        <v>#REF!</v>
      </c>
      <c r="AI17" s="44" t="e" cm="1">
        <f t="array" aca="1" ref="AI17" ca="1">IF(OR(AI$11="", INDIRECT("'Data Murid'!$E" &amp; ROW($E10))=""), "", IF(ISNUMBER(SEARCH(TEXT(AI$11,"mm/dd/yyyy"), INDIRECT("'Data Murid'!$E" &amp; ROW($E10)))), "✔", ""))</f>
        <v>#REF!</v>
      </c>
      <c r="AJ17" s="40">
        <f t="shared" ca="1" si="2"/>
        <v>0</v>
      </c>
    </row>
    <row r="18" spans="1:39" ht="14.25" customHeight="1" x14ac:dyDescent="0.25">
      <c r="A18" s="27">
        <v>4</v>
      </c>
      <c r="B18" s="25" t="e">
        <f ca="1">'rekap absensi seluruhnya'!B23</f>
        <v>#REF!</v>
      </c>
      <c r="C18" s="52" t="e">
        <f ca="1">'rekap absensi seluruhnya'!C23</f>
        <v>#REF!</v>
      </c>
      <c r="D18" s="25" t="e">
        <f ca="1">'rekap absensi seluruhnya'!D23</f>
        <v>#REF!</v>
      </c>
      <c r="E18" s="44" t="e" cm="1">
        <f t="array" aca="1" ref="E18" ca="1">IF(OR(E$11="", INDIRECT("'Data Murid'!$E" &amp; ROW($E11))=""), "", IF(ISNUMBER(SEARCH(TEXT(E$11,"mm/dd/yyyy"), INDIRECT("'Data Murid'!$E" &amp; ROW($E11)))), "✔", ""))</f>
        <v>#REF!</v>
      </c>
      <c r="F18" s="44" t="e" cm="1">
        <f t="array" aca="1" ref="F18" ca="1">IF(OR(F$11="", INDIRECT("'Data Murid'!$E" &amp; ROW($E11))=""), "", IF(ISNUMBER(SEARCH(TEXT(F$11,"mm/dd/yyyy"), INDIRECT("'Data Murid'!$E" &amp; ROW($E11)))), "✔", ""))</f>
        <v>#REF!</v>
      </c>
      <c r="G18" s="44" t="e" cm="1">
        <f t="array" aca="1" ref="G18" ca="1">IF(OR(G$11="", INDIRECT("'Data Murid'!$E" &amp; ROW($E11))=""), "", IF(ISNUMBER(SEARCH(TEXT(G$11,"mm/dd/yyyy"), INDIRECT("'Data Murid'!$E" &amp; ROW($E11)))), "✔", ""))</f>
        <v>#REF!</v>
      </c>
      <c r="H18" s="44" t="e" cm="1">
        <f t="array" aca="1" ref="H18" ca="1">IF(OR(H$11="", INDIRECT("'Data Murid'!$E" &amp; ROW($E11))=""), "", IF(ISNUMBER(SEARCH(TEXT(H$11,"mm/dd/yyyy"), INDIRECT("'Data Murid'!$E" &amp; ROW($E11)))), "✔", ""))</f>
        <v>#REF!</v>
      </c>
      <c r="I18" s="44" t="e" cm="1">
        <f t="array" aca="1" ref="I18" ca="1">IF(OR(I$11="", INDIRECT("'Data Murid'!$E" &amp; ROW($E11))=""), "", IF(ISNUMBER(SEARCH(TEXT(I$11,"mm/dd/yyyy"), INDIRECT("'Data Murid'!$E" &amp; ROW($E11)))), "✔", ""))</f>
        <v>#REF!</v>
      </c>
      <c r="J18" s="44" t="e" cm="1">
        <f t="array" aca="1" ref="J18" ca="1">IF(OR(J$11="", INDIRECT("'Data Murid'!$E" &amp; ROW($E11))=""), "", IF(ISNUMBER(SEARCH(TEXT(J$11,"mm/dd/yyyy"), INDIRECT("'Data Murid'!$E" &amp; ROW($E11)))), "✔", ""))</f>
        <v>#REF!</v>
      </c>
      <c r="K18" s="44" t="e" cm="1">
        <f t="array" aca="1" ref="K18" ca="1">IF(OR(K$11="", INDIRECT("'Data Murid'!$E" &amp; ROW($E11))=""), "", IF(ISNUMBER(SEARCH(TEXT(K$11,"mm/dd/yyyy"), INDIRECT("'Data Murid'!$E" &amp; ROW($E11)))), "✔", ""))</f>
        <v>#REF!</v>
      </c>
      <c r="L18" s="44" t="e" cm="1">
        <f t="array" aca="1" ref="L18" ca="1">IF(OR(L$11="", INDIRECT("'Data Murid'!$E" &amp; ROW($E11))=""), "", IF(ISNUMBER(SEARCH(TEXT(L$11,"mm/dd/yyyy"), INDIRECT("'Data Murid'!$E" &amp; ROW($E11)))), "✔", ""))</f>
        <v>#REF!</v>
      </c>
      <c r="M18" s="44" t="e" cm="1">
        <f t="array" aca="1" ref="M18" ca="1">IF(OR(M$11="", INDIRECT("'Data Murid'!$E" &amp; ROW($E11))=""), "", IF(ISNUMBER(SEARCH(TEXT(M$11,"mm/dd/yyyy"), INDIRECT("'Data Murid'!$E" &amp; ROW($E11)))), "✔", ""))</f>
        <v>#REF!</v>
      </c>
      <c r="N18" s="44" t="e" cm="1">
        <f t="array" aca="1" ref="N18" ca="1">IF(OR(N$11="", INDIRECT("'Data Murid'!$E" &amp; ROW($E11))=""), "", IF(ISNUMBER(SEARCH(TEXT(N$11,"mm/dd/yyyy"), INDIRECT("'Data Murid'!$E" &amp; ROW($E11)))), "✔", ""))</f>
        <v>#REF!</v>
      </c>
      <c r="O18" s="44" t="e" cm="1">
        <f t="array" aca="1" ref="O18" ca="1">IF(OR(O$11="", INDIRECT("'Data Murid'!$E" &amp; ROW($E11))=""), "", IF(ISNUMBER(SEARCH(TEXT(O$11,"mm/dd/yyyy"), INDIRECT("'Data Murid'!$E" &amp; ROW($E11)))), "✔", ""))</f>
        <v>#REF!</v>
      </c>
      <c r="P18" s="44" t="e" cm="1">
        <f t="array" aca="1" ref="P18" ca="1">IF(OR(P$11="", INDIRECT("'Data Murid'!$E" &amp; ROW($E11))=""), "", IF(ISNUMBER(SEARCH(TEXT(P$11,"mm/dd/yyyy"), INDIRECT("'Data Murid'!$E" &amp; ROW($E11)))), "✔", ""))</f>
        <v>#REF!</v>
      </c>
      <c r="Q18" s="44" t="e" cm="1">
        <f t="array" aca="1" ref="Q18" ca="1">IF(OR(Q$11="", INDIRECT("'Data Murid'!$E" &amp; ROW($E11))=""), "", IF(ISNUMBER(SEARCH(TEXT(Q$11,"mm/dd/yyyy"), INDIRECT("'Data Murid'!$E" &amp; ROW($E11)))), "✔", ""))</f>
        <v>#REF!</v>
      </c>
      <c r="R18" s="44" t="e" cm="1">
        <f t="array" aca="1" ref="R18" ca="1">IF(OR(R$11="", INDIRECT("'Data Murid'!$E" &amp; ROW($E11))=""), "", IF(ISNUMBER(SEARCH(TEXT(R$11,"mm/dd/yyyy"), INDIRECT("'Data Murid'!$E" &amp; ROW($E11)))), "✔", ""))</f>
        <v>#REF!</v>
      </c>
      <c r="S18" s="44" t="e" cm="1">
        <f t="array" aca="1" ref="S18" ca="1">IF(OR(S$11="", INDIRECT("'Data Murid'!$E" &amp; ROW($E11))=""), "", IF(ISNUMBER(SEARCH(TEXT(S$11,"mm/dd/yyyy"), INDIRECT("'Data Murid'!$E" &amp; ROW($E11)))), "✔", ""))</f>
        <v>#REF!</v>
      </c>
      <c r="T18" s="44" t="e" cm="1">
        <f t="array" aca="1" ref="T18" ca="1">IF(OR(T$11="", INDIRECT("'Data Murid'!$E" &amp; ROW($E11))=""), "", IF(ISNUMBER(SEARCH(TEXT(T$11,"mm/dd/yyyy"), INDIRECT("'Data Murid'!$E" &amp; ROW($E11)))), "✔", ""))</f>
        <v>#REF!</v>
      </c>
      <c r="U18" s="44" t="e" cm="1">
        <f t="array" aca="1" ref="U18" ca="1">IF(OR(U$11="", INDIRECT("'Data Murid'!$E" &amp; ROW($E11))=""), "", IF(ISNUMBER(SEARCH(TEXT(U$11,"mm/dd/yyyy"), INDIRECT("'Data Murid'!$E" &amp; ROW($E11)))), "✔", ""))</f>
        <v>#REF!</v>
      </c>
      <c r="V18" s="44" t="e" cm="1">
        <f t="array" aca="1" ref="V18" ca="1">IF(OR(V$11="", INDIRECT("'Data Murid'!$E" &amp; ROW($E11))=""), "", IF(ISNUMBER(SEARCH(TEXT(V$11,"mm/dd/yyyy"), INDIRECT("'Data Murid'!$E" &amp; ROW($E11)))), "✔", ""))</f>
        <v>#REF!</v>
      </c>
      <c r="W18" s="44" t="e" cm="1">
        <f t="array" aca="1" ref="W18" ca="1">IF(OR(W$11="", INDIRECT("'Data Murid'!$E" &amp; ROW($E11))=""), "", IF(ISNUMBER(SEARCH(TEXT(W$11,"mm/dd/yyyy"), INDIRECT("'Data Murid'!$E" &amp; ROW($E11)))), "✔", ""))</f>
        <v>#REF!</v>
      </c>
      <c r="X18" s="44" t="e" cm="1">
        <f t="array" aca="1" ref="X18" ca="1">IF(OR(X$11="", INDIRECT("'Data Murid'!$E" &amp; ROW($E11))=""), "", IF(ISNUMBER(SEARCH(TEXT(X$11,"mm/dd/yyyy"), INDIRECT("'Data Murid'!$E" &amp; ROW($E11)))), "✔", ""))</f>
        <v>#REF!</v>
      </c>
      <c r="Y18" s="44" t="e" cm="1">
        <f t="array" aca="1" ref="Y18" ca="1">IF(OR(Y$11="", INDIRECT("'Data Murid'!$E" &amp; ROW($E11))=""), "", IF(ISNUMBER(SEARCH(TEXT(Y$11,"mm/dd/yyyy"), INDIRECT("'Data Murid'!$E" &amp; ROW($E11)))), "✔", ""))</f>
        <v>#REF!</v>
      </c>
      <c r="Z18" s="44" t="e" cm="1">
        <f t="array" aca="1" ref="Z18" ca="1">IF(OR(Z$11="", INDIRECT("'Data Murid'!$E" &amp; ROW($E11))=""), "", IF(ISNUMBER(SEARCH(TEXT(Z$11,"mm/dd/yyyy"), INDIRECT("'Data Murid'!$E" &amp; ROW($E11)))), "✔", ""))</f>
        <v>#REF!</v>
      </c>
      <c r="AA18" s="44" t="e" cm="1">
        <f t="array" aca="1" ref="AA18" ca="1">IF(OR(AA$11="", INDIRECT("'Data Murid'!$E" &amp; ROW($E11))=""), "", IF(ISNUMBER(SEARCH(TEXT(AA$11,"mm/dd/yyyy"), INDIRECT("'Data Murid'!$E" &amp; ROW($E11)))), "✔", ""))</f>
        <v>#REF!</v>
      </c>
      <c r="AB18" s="44" t="e" cm="1">
        <f t="array" aca="1" ref="AB18" ca="1">IF(OR(AB$11="", INDIRECT("'Data Murid'!$E" &amp; ROW($E11))=""), "", IF(ISNUMBER(SEARCH(TEXT(AB$11,"mm/dd/yyyy"), INDIRECT("'Data Murid'!$E" &amp; ROW($E11)))), "✔", ""))</f>
        <v>#REF!</v>
      </c>
      <c r="AC18" s="44" t="e" cm="1">
        <f t="array" aca="1" ref="AC18" ca="1">IF(OR(AC$11="", INDIRECT("'Data Murid'!$E" &amp; ROW($E11))=""), "", IF(ISNUMBER(SEARCH(TEXT(AC$11,"mm/dd/yyyy"), INDIRECT("'Data Murid'!$E" &amp; ROW($E11)))), "✔", ""))</f>
        <v>#REF!</v>
      </c>
      <c r="AD18" s="44" t="e" cm="1">
        <f t="array" aca="1" ref="AD18" ca="1">IF(OR(AD$11="", INDIRECT("'Data Murid'!$E" &amp; ROW($E11))=""), "", IF(ISNUMBER(SEARCH(TEXT(AD$11,"mm/dd/yyyy"), INDIRECT("'Data Murid'!$E" &amp; ROW($E11)))), "✔", ""))</f>
        <v>#REF!</v>
      </c>
      <c r="AE18" s="44" t="e" cm="1">
        <f t="array" aca="1" ref="AE18" ca="1">IF(OR(AE$11="", INDIRECT("'Data Murid'!$E" &amp; ROW($E11))=""), "", IF(ISNUMBER(SEARCH(TEXT(AE$11,"mm/dd/yyyy"), INDIRECT("'Data Murid'!$E" &amp; ROW($E11)))), "✔", ""))</f>
        <v>#REF!</v>
      </c>
      <c r="AF18" s="44" t="e" cm="1">
        <f t="array" aca="1" ref="AF18" ca="1">IF(OR(AF$11="", INDIRECT("'Data Murid'!$E" &amp; ROW($E11))=""), "", IF(ISNUMBER(SEARCH(TEXT(AF$11,"mm/dd/yyyy"), INDIRECT("'Data Murid'!$E" &amp; ROW($E11)))), "✔", ""))</f>
        <v>#REF!</v>
      </c>
      <c r="AG18" s="44" t="e" cm="1">
        <f t="array" aca="1" ref="AG18" ca="1">IF(OR(AG$11="", INDIRECT("'Data Murid'!$E" &amp; ROW($E11))=""), "", IF(ISNUMBER(SEARCH(TEXT(AG$11,"mm/dd/yyyy"), INDIRECT("'Data Murid'!$E" &amp; ROW($E11)))), "✔", ""))</f>
        <v>#REF!</v>
      </c>
      <c r="AH18" s="44" t="e" cm="1">
        <f t="array" aca="1" ref="AH18" ca="1">IF(OR(AH$11="", INDIRECT("'Data Murid'!$E" &amp; ROW($E11))=""), "", IF(ISNUMBER(SEARCH(TEXT(AH$11,"mm/dd/yyyy"), INDIRECT("'Data Murid'!$E" &amp; ROW($E11)))), "✔", ""))</f>
        <v>#REF!</v>
      </c>
      <c r="AI18" s="44" t="e" cm="1">
        <f t="array" aca="1" ref="AI18" ca="1">IF(OR(AI$11="", INDIRECT("'Data Murid'!$E" &amp; ROW($E11))=""), "", IF(ISNUMBER(SEARCH(TEXT(AI$11,"mm/dd/yyyy"), INDIRECT("'Data Murid'!$E" &amp; ROW($E11)))), "✔", ""))</f>
        <v>#REF!</v>
      </c>
      <c r="AJ18" s="40">
        <f t="shared" ca="1" si="2"/>
        <v>0</v>
      </c>
    </row>
    <row r="19" spans="1:39" ht="14.25" customHeight="1" x14ac:dyDescent="0.25">
      <c r="A19" s="27">
        <v>5</v>
      </c>
      <c r="B19" s="25" t="e">
        <f ca="1">'rekap absensi seluruhnya'!B24</f>
        <v>#REF!</v>
      </c>
      <c r="C19" s="52" t="e">
        <f ca="1">'rekap absensi seluruhnya'!C24</f>
        <v>#REF!</v>
      </c>
      <c r="D19" s="25" t="e">
        <f ca="1">'rekap absensi seluruhnya'!D24</f>
        <v>#REF!</v>
      </c>
      <c r="E19" s="44" t="e" cm="1">
        <f t="array" aca="1" ref="E19" ca="1">IF(OR(E$11="", INDIRECT("'Data Murid'!$E" &amp; ROW($E12))=""), "", IF(ISNUMBER(SEARCH(TEXT(E$11,"mm/dd/yyyy"), INDIRECT("'Data Murid'!$E" &amp; ROW($E12)))), "✔", ""))</f>
        <v>#REF!</v>
      </c>
      <c r="F19" s="44" t="e" cm="1">
        <f t="array" aca="1" ref="F19" ca="1">IF(OR(F$11="", INDIRECT("'Data Murid'!$E" &amp; ROW($E12))=""), "", IF(ISNUMBER(SEARCH(TEXT(F$11,"mm/dd/yyyy"), INDIRECT("'Data Murid'!$E" &amp; ROW($E12)))), "✔", ""))</f>
        <v>#REF!</v>
      </c>
      <c r="G19" s="44" t="e" cm="1">
        <f t="array" aca="1" ref="G19" ca="1">IF(OR(G$11="", INDIRECT("'Data Murid'!$E" &amp; ROW($E12))=""), "", IF(ISNUMBER(SEARCH(TEXT(G$11,"mm/dd/yyyy"), INDIRECT("'Data Murid'!$E" &amp; ROW($E12)))), "✔", ""))</f>
        <v>#REF!</v>
      </c>
      <c r="H19" s="44" t="e" cm="1">
        <f t="array" aca="1" ref="H19" ca="1">IF(OR(H$11="", INDIRECT("'Data Murid'!$E" &amp; ROW($E12))=""), "", IF(ISNUMBER(SEARCH(TEXT(H$11,"mm/dd/yyyy"), INDIRECT("'Data Murid'!$E" &amp; ROW($E12)))), "✔", ""))</f>
        <v>#REF!</v>
      </c>
      <c r="I19" s="44" t="e" cm="1">
        <f t="array" aca="1" ref="I19" ca="1">IF(OR(I$11="", INDIRECT("'Data Murid'!$E" &amp; ROW($E12))=""), "", IF(ISNUMBER(SEARCH(TEXT(I$11,"mm/dd/yyyy"), INDIRECT("'Data Murid'!$E" &amp; ROW($E12)))), "✔", ""))</f>
        <v>#REF!</v>
      </c>
      <c r="J19" s="44" t="e" cm="1">
        <f t="array" aca="1" ref="J19" ca="1">IF(OR(J$11="", INDIRECT("'Data Murid'!$E" &amp; ROW($E12))=""), "", IF(ISNUMBER(SEARCH(TEXT(J$11,"mm/dd/yyyy"), INDIRECT("'Data Murid'!$E" &amp; ROW($E12)))), "✔", ""))</f>
        <v>#REF!</v>
      </c>
      <c r="K19" s="44" t="e" cm="1">
        <f t="array" aca="1" ref="K19" ca="1">IF(OR(K$11="", INDIRECT("'Data Murid'!$E" &amp; ROW($E12))=""), "", IF(ISNUMBER(SEARCH(TEXT(K$11,"mm/dd/yyyy"), INDIRECT("'Data Murid'!$E" &amp; ROW($E12)))), "✔", ""))</f>
        <v>#REF!</v>
      </c>
      <c r="L19" s="44" t="e" cm="1">
        <f t="array" aca="1" ref="L19" ca="1">IF(OR(L$11="", INDIRECT("'Data Murid'!$E" &amp; ROW($E12))=""), "", IF(ISNUMBER(SEARCH(TEXT(L$11,"mm/dd/yyyy"), INDIRECT("'Data Murid'!$E" &amp; ROW($E12)))), "✔", ""))</f>
        <v>#REF!</v>
      </c>
      <c r="M19" s="44" t="e" cm="1">
        <f t="array" aca="1" ref="M19" ca="1">IF(OR(M$11="", INDIRECT("'Data Murid'!$E" &amp; ROW($E12))=""), "", IF(ISNUMBER(SEARCH(TEXT(M$11,"mm/dd/yyyy"), INDIRECT("'Data Murid'!$E" &amp; ROW($E12)))), "✔", ""))</f>
        <v>#REF!</v>
      </c>
      <c r="N19" s="44" t="e" cm="1">
        <f t="array" aca="1" ref="N19" ca="1">IF(OR(N$11="", INDIRECT("'Data Murid'!$E" &amp; ROW($E12))=""), "", IF(ISNUMBER(SEARCH(TEXT(N$11,"mm/dd/yyyy"), INDIRECT("'Data Murid'!$E" &amp; ROW($E12)))), "✔", ""))</f>
        <v>#REF!</v>
      </c>
      <c r="O19" s="44" t="e" cm="1">
        <f t="array" aca="1" ref="O19" ca="1">IF(OR(O$11="", INDIRECT("'Data Murid'!$E" &amp; ROW($E12))=""), "", IF(ISNUMBER(SEARCH(TEXT(O$11,"mm/dd/yyyy"), INDIRECT("'Data Murid'!$E" &amp; ROW($E12)))), "✔", ""))</f>
        <v>#REF!</v>
      </c>
      <c r="P19" s="44" t="e" cm="1">
        <f t="array" aca="1" ref="P19" ca="1">IF(OR(P$11="", INDIRECT("'Data Murid'!$E" &amp; ROW($E12))=""), "", IF(ISNUMBER(SEARCH(TEXT(P$11,"mm/dd/yyyy"), INDIRECT("'Data Murid'!$E" &amp; ROW($E12)))), "✔", ""))</f>
        <v>#REF!</v>
      </c>
      <c r="Q19" s="44" t="e" cm="1">
        <f t="array" aca="1" ref="Q19" ca="1">IF(OR(Q$11="", INDIRECT("'Data Murid'!$E" &amp; ROW($E12))=""), "", IF(ISNUMBER(SEARCH(TEXT(Q$11,"mm/dd/yyyy"), INDIRECT("'Data Murid'!$E" &amp; ROW($E12)))), "✔", ""))</f>
        <v>#REF!</v>
      </c>
      <c r="R19" s="44" t="e" cm="1">
        <f t="array" aca="1" ref="R19" ca="1">IF(OR(R$11="", INDIRECT("'Data Murid'!$E" &amp; ROW($E12))=""), "", IF(ISNUMBER(SEARCH(TEXT(R$11,"mm/dd/yyyy"), INDIRECT("'Data Murid'!$E" &amp; ROW($E12)))), "✔", ""))</f>
        <v>#REF!</v>
      </c>
      <c r="S19" s="44" t="e" cm="1">
        <f t="array" aca="1" ref="S19" ca="1">IF(OR(S$11="", INDIRECT("'Data Murid'!$E" &amp; ROW($E12))=""), "", IF(ISNUMBER(SEARCH(TEXT(S$11,"mm/dd/yyyy"), INDIRECT("'Data Murid'!$E" &amp; ROW($E12)))), "✔", ""))</f>
        <v>#REF!</v>
      </c>
      <c r="T19" s="44" t="e" cm="1">
        <f t="array" aca="1" ref="T19" ca="1">IF(OR(T$11="", INDIRECT("'Data Murid'!$E" &amp; ROW($E12))=""), "", IF(ISNUMBER(SEARCH(TEXT(T$11,"mm/dd/yyyy"), INDIRECT("'Data Murid'!$E" &amp; ROW($E12)))), "✔", ""))</f>
        <v>#REF!</v>
      </c>
      <c r="U19" s="44" t="e" cm="1">
        <f t="array" aca="1" ref="U19" ca="1">IF(OR(U$11="", INDIRECT("'Data Murid'!$E" &amp; ROW($E12))=""), "", IF(ISNUMBER(SEARCH(TEXT(U$11,"mm/dd/yyyy"), INDIRECT("'Data Murid'!$E" &amp; ROW($E12)))), "✔", ""))</f>
        <v>#REF!</v>
      </c>
      <c r="V19" s="44" t="e" cm="1">
        <f t="array" aca="1" ref="V19" ca="1">IF(OR(V$11="", INDIRECT("'Data Murid'!$E" &amp; ROW($E12))=""), "", IF(ISNUMBER(SEARCH(TEXT(V$11,"mm/dd/yyyy"), INDIRECT("'Data Murid'!$E" &amp; ROW($E12)))), "✔", ""))</f>
        <v>#REF!</v>
      </c>
      <c r="W19" s="44" t="e" cm="1">
        <f t="array" aca="1" ref="W19" ca="1">IF(OR(W$11="", INDIRECT("'Data Murid'!$E" &amp; ROW($E12))=""), "", IF(ISNUMBER(SEARCH(TEXT(W$11,"mm/dd/yyyy"), INDIRECT("'Data Murid'!$E" &amp; ROW($E12)))), "✔", ""))</f>
        <v>#REF!</v>
      </c>
      <c r="X19" s="44" t="e" cm="1">
        <f t="array" aca="1" ref="X19" ca="1">IF(OR(X$11="", INDIRECT("'Data Murid'!$E" &amp; ROW($E12))=""), "", IF(ISNUMBER(SEARCH(TEXT(X$11,"mm/dd/yyyy"), INDIRECT("'Data Murid'!$E" &amp; ROW($E12)))), "✔", ""))</f>
        <v>#REF!</v>
      </c>
      <c r="Y19" s="44" t="e" cm="1">
        <f t="array" aca="1" ref="Y19" ca="1">IF(OR(Y$11="", INDIRECT("'Data Murid'!$E" &amp; ROW($E12))=""), "", IF(ISNUMBER(SEARCH(TEXT(Y$11,"mm/dd/yyyy"), INDIRECT("'Data Murid'!$E" &amp; ROW($E12)))), "✔", ""))</f>
        <v>#REF!</v>
      </c>
      <c r="Z19" s="44" t="e" cm="1">
        <f t="array" aca="1" ref="Z19" ca="1">IF(OR(Z$11="", INDIRECT("'Data Murid'!$E" &amp; ROW($E12))=""), "", IF(ISNUMBER(SEARCH(TEXT(Z$11,"mm/dd/yyyy"), INDIRECT("'Data Murid'!$E" &amp; ROW($E12)))), "✔", ""))</f>
        <v>#REF!</v>
      </c>
      <c r="AA19" s="44" t="e" cm="1">
        <f t="array" aca="1" ref="AA19" ca="1">IF(OR(AA$11="", INDIRECT("'Data Murid'!$E" &amp; ROW($E12))=""), "", IF(ISNUMBER(SEARCH(TEXT(AA$11,"mm/dd/yyyy"), INDIRECT("'Data Murid'!$E" &amp; ROW($E12)))), "✔", ""))</f>
        <v>#REF!</v>
      </c>
      <c r="AB19" s="44" t="e" cm="1">
        <f t="array" aca="1" ref="AB19" ca="1">IF(OR(AB$11="", INDIRECT("'Data Murid'!$E" &amp; ROW($E12))=""), "", IF(ISNUMBER(SEARCH(TEXT(AB$11,"mm/dd/yyyy"), INDIRECT("'Data Murid'!$E" &amp; ROW($E12)))), "✔", ""))</f>
        <v>#REF!</v>
      </c>
      <c r="AC19" s="44" t="e" cm="1">
        <f t="array" aca="1" ref="AC19" ca="1">IF(OR(AC$11="", INDIRECT("'Data Murid'!$E" &amp; ROW($E12))=""), "", IF(ISNUMBER(SEARCH(TEXT(AC$11,"mm/dd/yyyy"), INDIRECT("'Data Murid'!$E" &amp; ROW($E12)))), "✔", ""))</f>
        <v>#REF!</v>
      </c>
      <c r="AD19" s="44" t="e" cm="1">
        <f t="array" aca="1" ref="AD19" ca="1">IF(OR(AD$11="", INDIRECT("'Data Murid'!$E" &amp; ROW($E12))=""), "", IF(ISNUMBER(SEARCH(TEXT(AD$11,"mm/dd/yyyy"), INDIRECT("'Data Murid'!$E" &amp; ROW($E12)))), "✔", ""))</f>
        <v>#REF!</v>
      </c>
      <c r="AE19" s="44" t="e" cm="1">
        <f t="array" aca="1" ref="AE19" ca="1">IF(OR(AE$11="", INDIRECT("'Data Murid'!$E" &amp; ROW($E12))=""), "", IF(ISNUMBER(SEARCH(TEXT(AE$11,"mm/dd/yyyy"), INDIRECT("'Data Murid'!$E" &amp; ROW($E12)))), "✔", ""))</f>
        <v>#REF!</v>
      </c>
      <c r="AF19" s="44" t="e" cm="1">
        <f t="array" aca="1" ref="AF19" ca="1">IF(OR(AF$11="", INDIRECT("'Data Murid'!$E" &amp; ROW($E12))=""), "", IF(ISNUMBER(SEARCH(TEXT(AF$11,"mm/dd/yyyy"), INDIRECT("'Data Murid'!$E" &amp; ROW($E12)))), "✔", ""))</f>
        <v>#REF!</v>
      </c>
      <c r="AG19" s="44" t="e" cm="1">
        <f t="array" aca="1" ref="AG19" ca="1">IF(OR(AG$11="", INDIRECT("'Data Murid'!$E" &amp; ROW($E12))=""), "", IF(ISNUMBER(SEARCH(TEXT(AG$11,"mm/dd/yyyy"), INDIRECT("'Data Murid'!$E" &amp; ROW($E12)))), "✔", ""))</f>
        <v>#REF!</v>
      </c>
      <c r="AH19" s="44" t="e" cm="1">
        <f t="array" aca="1" ref="AH19" ca="1">IF(OR(AH$11="", INDIRECT("'Data Murid'!$E" &amp; ROW($E12))=""), "", IF(ISNUMBER(SEARCH(TEXT(AH$11,"mm/dd/yyyy"), INDIRECT("'Data Murid'!$E" &amp; ROW($E12)))), "✔", ""))</f>
        <v>#REF!</v>
      </c>
      <c r="AI19" s="44" t="e" cm="1">
        <f t="array" aca="1" ref="AI19" ca="1">IF(OR(AI$11="", INDIRECT("'Data Murid'!$E" &amp; ROW($E12))=""), "", IF(ISNUMBER(SEARCH(TEXT(AI$11,"mm/dd/yyyy"), INDIRECT("'Data Murid'!$E" &amp; ROW($E12)))), "✔", ""))</f>
        <v>#REF!</v>
      </c>
      <c r="AJ19" s="40">
        <f t="shared" ca="1" si="2"/>
        <v>0</v>
      </c>
    </row>
    <row r="20" spans="1:39" ht="14.25" customHeight="1" x14ac:dyDescent="0.25">
      <c r="A20" s="27">
        <v>6</v>
      </c>
      <c r="B20" s="25" t="e">
        <f ca="1">'rekap absensi seluruhnya'!B25</f>
        <v>#REF!</v>
      </c>
      <c r="C20" s="52" t="e">
        <f ca="1">'rekap absensi seluruhnya'!C25</f>
        <v>#REF!</v>
      </c>
      <c r="D20" s="25" t="e">
        <f ca="1">'rekap absensi seluruhnya'!D25</f>
        <v>#REF!</v>
      </c>
      <c r="E20" s="44" t="e" cm="1">
        <f t="array" aca="1" ref="E20" ca="1">IF(OR(E$11="", INDIRECT("'Data Murid'!$E" &amp; ROW($E13))=""), "", IF(ISNUMBER(SEARCH(TEXT(E$11,"mm/dd/yyyy"), INDIRECT("'Data Murid'!$E" &amp; ROW($E13)))), "✔", ""))</f>
        <v>#REF!</v>
      </c>
      <c r="F20" s="44" t="e" cm="1">
        <f t="array" aca="1" ref="F20" ca="1">IF(OR(F$11="", INDIRECT("'Data Murid'!$E" &amp; ROW($E13))=""), "", IF(ISNUMBER(SEARCH(TEXT(F$11,"mm/dd/yyyy"), INDIRECT("'Data Murid'!$E" &amp; ROW($E13)))), "✔", ""))</f>
        <v>#REF!</v>
      </c>
      <c r="G20" s="44" t="e" cm="1">
        <f t="array" aca="1" ref="G20" ca="1">IF(OR(G$11="", INDIRECT("'Data Murid'!$E" &amp; ROW($E13))=""), "", IF(ISNUMBER(SEARCH(TEXT(G$11,"mm/dd/yyyy"), INDIRECT("'Data Murid'!$E" &amp; ROW($E13)))), "✔", ""))</f>
        <v>#REF!</v>
      </c>
      <c r="H20" s="44" t="e" cm="1">
        <f t="array" aca="1" ref="H20" ca="1">IF(OR(H$11="", INDIRECT("'Data Murid'!$E" &amp; ROW($E13))=""), "", IF(ISNUMBER(SEARCH(TEXT(H$11,"mm/dd/yyyy"), INDIRECT("'Data Murid'!$E" &amp; ROW($E13)))), "✔", ""))</f>
        <v>#REF!</v>
      </c>
      <c r="I20" s="44" t="e" cm="1">
        <f t="array" aca="1" ref="I20" ca="1">IF(OR(I$11="", INDIRECT("'Data Murid'!$E" &amp; ROW($E13))=""), "", IF(ISNUMBER(SEARCH(TEXT(I$11,"mm/dd/yyyy"), INDIRECT("'Data Murid'!$E" &amp; ROW($E13)))), "✔", ""))</f>
        <v>#REF!</v>
      </c>
      <c r="J20" s="44" t="e" cm="1">
        <f t="array" aca="1" ref="J20" ca="1">IF(OR(J$11="", INDIRECT("'Data Murid'!$E" &amp; ROW($E13))=""), "", IF(ISNUMBER(SEARCH(TEXT(J$11,"mm/dd/yyyy"), INDIRECT("'Data Murid'!$E" &amp; ROW($E13)))), "✔", ""))</f>
        <v>#REF!</v>
      </c>
      <c r="K20" s="44" t="e" cm="1">
        <f t="array" aca="1" ref="K20" ca="1">IF(OR(K$11="", INDIRECT("'Data Murid'!$E" &amp; ROW($E13))=""), "", IF(ISNUMBER(SEARCH(TEXT(K$11,"mm/dd/yyyy"), INDIRECT("'Data Murid'!$E" &amp; ROW($E13)))), "✔", ""))</f>
        <v>#REF!</v>
      </c>
      <c r="L20" s="44" t="e" cm="1">
        <f t="array" aca="1" ref="L20" ca="1">IF(OR(L$11="", INDIRECT("'Data Murid'!$E" &amp; ROW($E13))=""), "", IF(ISNUMBER(SEARCH(TEXT(L$11,"mm/dd/yyyy"), INDIRECT("'Data Murid'!$E" &amp; ROW($E13)))), "✔", ""))</f>
        <v>#REF!</v>
      </c>
      <c r="M20" s="44" t="e" cm="1">
        <f t="array" aca="1" ref="M20" ca="1">IF(OR(M$11="", INDIRECT("'Data Murid'!$E" &amp; ROW($E13))=""), "", IF(ISNUMBER(SEARCH(TEXT(M$11,"mm/dd/yyyy"), INDIRECT("'Data Murid'!$E" &amp; ROW($E13)))), "✔", ""))</f>
        <v>#REF!</v>
      </c>
      <c r="N20" s="44" t="e" cm="1">
        <f t="array" aca="1" ref="N20" ca="1">IF(OR(N$11="", INDIRECT("'Data Murid'!$E" &amp; ROW($E13))=""), "", IF(ISNUMBER(SEARCH(TEXT(N$11,"mm/dd/yyyy"), INDIRECT("'Data Murid'!$E" &amp; ROW($E13)))), "✔", ""))</f>
        <v>#REF!</v>
      </c>
      <c r="O20" s="44" t="e" cm="1">
        <f t="array" aca="1" ref="O20" ca="1">IF(OR(O$11="", INDIRECT("'Data Murid'!$E" &amp; ROW($E13))=""), "", IF(ISNUMBER(SEARCH(TEXT(O$11,"mm/dd/yyyy"), INDIRECT("'Data Murid'!$E" &amp; ROW($E13)))), "✔", ""))</f>
        <v>#REF!</v>
      </c>
      <c r="P20" s="44" t="e" cm="1">
        <f t="array" aca="1" ref="P20" ca="1">IF(OR(P$11="", INDIRECT("'Data Murid'!$E" &amp; ROW($E13))=""), "", IF(ISNUMBER(SEARCH(TEXT(P$11,"mm/dd/yyyy"), INDIRECT("'Data Murid'!$E" &amp; ROW($E13)))), "✔", ""))</f>
        <v>#REF!</v>
      </c>
      <c r="Q20" s="44" t="e" cm="1">
        <f t="array" aca="1" ref="Q20" ca="1">IF(OR(Q$11="", INDIRECT("'Data Murid'!$E" &amp; ROW($E13))=""), "", IF(ISNUMBER(SEARCH(TEXT(Q$11,"mm/dd/yyyy"), INDIRECT("'Data Murid'!$E" &amp; ROW($E13)))), "✔", ""))</f>
        <v>#REF!</v>
      </c>
      <c r="R20" s="44" t="e" cm="1">
        <f t="array" aca="1" ref="R20" ca="1">IF(OR(R$11="", INDIRECT("'Data Murid'!$E" &amp; ROW($E13))=""), "", IF(ISNUMBER(SEARCH(TEXT(R$11,"mm/dd/yyyy"), INDIRECT("'Data Murid'!$E" &amp; ROW($E13)))), "✔", ""))</f>
        <v>#REF!</v>
      </c>
      <c r="S20" s="44" t="e" cm="1">
        <f t="array" aca="1" ref="S20" ca="1">IF(OR(S$11="", INDIRECT("'Data Murid'!$E" &amp; ROW($E13))=""), "", IF(ISNUMBER(SEARCH(TEXT(S$11,"mm/dd/yyyy"), INDIRECT("'Data Murid'!$E" &amp; ROW($E13)))), "✔", ""))</f>
        <v>#REF!</v>
      </c>
      <c r="T20" s="44" t="e" cm="1">
        <f t="array" aca="1" ref="T20" ca="1">IF(OR(T$11="", INDIRECT("'Data Murid'!$E" &amp; ROW($E13))=""), "", IF(ISNUMBER(SEARCH(TEXT(T$11,"mm/dd/yyyy"), INDIRECT("'Data Murid'!$E" &amp; ROW($E13)))), "✔", ""))</f>
        <v>#REF!</v>
      </c>
      <c r="U20" s="44" t="e" cm="1">
        <f t="array" aca="1" ref="U20" ca="1">IF(OR(U$11="", INDIRECT("'Data Murid'!$E" &amp; ROW($E13))=""), "", IF(ISNUMBER(SEARCH(TEXT(U$11,"mm/dd/yyyy"), INDIRECT("'Data Murid'!$E" &amp; ROW($E13)))), "✔", ""))</f>
        <v>#REF!</v>
      </c>
      <c r="V20" s="44" t="e" cm="1">
        <f t="array" aca="1" ref="V20" ca="1">IF(OR(V$11="", INDIRECT("'Data Murid'!$E" &amp; ROW($E13))=""), "", IF(ISNUMBER(SEARCH(TEXT(V$11,"mm/dd/yyyy"), INDIRECT("'Data Murid'!$E" &amp; ROW($E13)))), "✔", ""))</f>
        <v>#REF!</v>
      </c>
      <c r="W20" s="44" t="e" cm="1">
        <f t="array" aca="1" ref="W20" ca="1">IF(OR(W$11="", INDIRECT("'Data Murid'!$E" &amp; ROW($E13))=""), "", IF(ISNUMBER(SEARCH(TEXT(W$11,"mm/dd/yyyy"), INDIRECT("'Data Murid'!$E" &amp; ROW($E13)))), "✔", ""))</f>
        <v>#REF!</v>
      </c>
      <c r="X20" s="44" t="e" cm="1">
        <f t="array" aca="1" ref="X20" ca="1">IF(OR(X$11="", INDIRECT("'Data Murid'!$E" &amp; ROW($E13))=""), "", IF(ISNUMBER(SEARCH(TEXT(X$11,"mm/dd/yyyy"), INDIRECT("'Data Murid'!$E" &amp; ROW($E13)))), "✔", ""))</f>
        <v>#REF!</v>
      </c>
      <c r="Y20" s="44" t="e" cm="1">
        <f t="array" aca="1" ref="Y20" ca="1">IF(OR(Y$11="", INDIRECT("'Data Murid'!$E" &amp; ROW($E13))=""), "", IF(ISNUMBER(SEARCH(TEXT(Y$11,"mm/dd/yyyy"), INDIRECT("'Data Murid'!$E" &amp; ROW($E13)))), "✔", ""))</f>
        <v>#REF!</v>
      </c>
      <c r="Z20" s="44" t="e" cm="1">
        <f t="array" aca="1" ref="Z20" ca="1">IF(OR(Z$11="", INDIRECT("'Data Murid'!$E" &amp; ROW($E13))=""), "", IF(ISNUMBER(SEARCH(TEXT(Z$11,"mm/dd/yyyy"), INDIRECT("'Data Murid'!$E" &amp; ROW($E13)))), "✔", ""))</f>
        <v>#REF!</v>
      </c>
      <c r="AA20" s="44" t="e" cm="1">
        <f t="array" aca="1" ref="AA20" ca="1">IF(OR(AA$11="", INDIRECT("'Data Murid'!$E" &amp; ROW($E13))=""), "", IF(ISNUMBER(SEARCH(TEXT(AA$11,"mm/dd/yyyy"), INDIRECT("'Data Murid'!$E" &amp; ROW($E13)))), "✔", ""))</f>
        <v>#REF!</v>
      </c>
      <c r="AB20" s="44" t="e" cm="1">
        <f t="array" aca="1" ref="AB20" ca="1">IF(OR(AB$11="", INDIRECT("'Data Murid'!$E" &amp; ROW($E13))=""), "", IF(ISNUMBER(SEARCH(TEXT(AB$11,"mm/dd/yyyy"), INDIRECT("'Data Murid'!$E" &amp; ROW($E13)))), "✔", ""))</f>
        <v>#REF!</v>
      </c>
      <c r="AC20" s="44" t="e" cm="1">
        <f t="array" aca="1" ref="AC20" ca="1">IF(OR(AC$11="", INDIRECT("'Data Murid'!$E" &amp; ROW($E13))=""), "", IF(ISNUMBER(SEARCH(TEXT(AC$11,"mm/dd/yyyy"), INDIRECT("'Data Murid'!$E" &amp; ROW($E13)))), "✔", ""))</f>
        <v>#REF!</v>
      </c>
      <c r="AD20" s="44" t="e" cm="1">
        <f t="array" aca="1" ref="AD20" ca="1">IF(OR(AD$11="", INDIRECT("'Data Murid'!$E" &amp; ROW($E13))=""), "", IF(ISNUMBER(SEARCH(TEXT(AD$11,"mm/dd/yyyy"), INDIRECT("'Data Murid'!$E" &amp; ROW($E13)))), "✔", ""))</f>
        <v>#REF!</v>
      </c>
      <c r="AE20" s="44" t="e" cm="1">
        <f t="array" aca="1" ref="AE20" ca="1">IF(OR(AE$11="", INDIRECT("'Data Murid'!$E" &amp; ROW($E13))=""), "", IF(ISNUMBER(SEARCH(TEXT(AE$11,"mm/dd/yyyy"), INDIRECT("'Data Murid'!$E" &amp; ROW($E13)))), "✔", ""))</f>
        <v>#REF!</v>
      </c>
      <c r="AF20" s="44" t="e" cm="1">
        <f t="array" aca="1" ref="AF20" ca="1">IF(OR(AF$11="", INDIRECT("'Data Murid'!$E" &amp; ROW($E13))=""), "", IF(ISNUMBER(SEARCH(TEXT(AF$11,"mm/dd/yyyy"), INDIRECT("'Data Murid'!$E" &amp; ROW($E13)))), "✔", ""))</f>
        <v>#REF!</v>
      </c>
      <c r="AG20" s="44" t="e" cm="1">
        <f t="array" aca="1" ref="AG20" ca="1">IF(OR(AG$11="", INDIRECT("'Data Murid'!$E" &amp; ROW($E13))=""), "", IF(ISNUMBER(SEARCH(TEXT(AG$11,"mm/dd/yyyy"), INDIRECT("'Data Murid'!$E" &amp; ROW($E13)))), "✔", ""))</f>
        <v>#REF!</v>
      </c>
      <c r="AH20" s="44" t="e" cm="1">
        <f t="array" aca="1" ref="AH20" ca="1">IF(OR(AH$11="", INDIRECT("'Data Murid'!$E" &amp; ROW($E13))=""), "", IF(ISNUMBER(SEARCH(TEXT(AH$11,"mm/dd/yyyy"), INDIRECT("'Data Murid'!$E" &amp; ROW($E13)))), "✔", ""))</f>
        <v>#REF!</v>
      </c>
      <c r="AI20" s="44" t="e" cm="1">
        <f t="array" aca="1" ref="AI20" ca="1">IF(OR(AI$11="", INDIRECT("'Data Murid'!$E" &amp; ROW($E13))=""), "", IF(ISNUMBER(SEARCH(TEXT(AI$11,"mm/dd/yyyy"), INDIRECT("'Data Murid'!$E" &amp; ROW($E13)))), "✔", ""))</f>
        <v>#REF!</v>
      </c>
      <c r="AJ20" s="40">
        <f t="shared" ca="1" si="2"/>
        <v>0</v>
      </c>
    </row>
    <row r="21" spans="1:39" ht="14.25" customHeight="1" x14ac:dyDescent="0.25">
      <c r="A21" s="27">
        <v>7</v>
      </c>
      <c r="B21" s="25" t="e">
        <f ca="1">'rekap absensi seluruhnya'!B26</f>
        <v>#REF!</v>
      </c>
      <c r="C21" s="52" t="e">
        <f ca="1">'rekap absensi seluruhnya'!C26</f>
        <v>#REF!</v>
      </c>
      <c r="D21" s="25" t="e">
        <f ca="1">'rekap absensi seluruhnya'!D26</f>
        <v>#REF!</v>
      </c>
      <c r="E21" s="44" t="e" cm="1">
        <f t="array" aca="1" ref="E21" ca="1">IF(OR(E$11="", INDIRECT("'Data Murid'!$E" &amp; ROW($E14))=""), "", IF(ISNUMBER(SEARCH(TEXT(E$11,"mm/dd/yyyy"), INDIRECT("'Data Murid'!$E" &amp; ROW($E14)))), "✔", ""))</f>
        <v>#REF!</v>
      </c>
      <c r="F21" s="44" t="e" cm="1">
        <f t="array" aca="1" ref="F21" ca="1">IF(OR(F$11="", INDIRECT("'Data Murid'!$E" &amp; ROW($E14))=""), "", IF(ISNUMBER(SEARCH(TEXT(F$11,"mm/dd/yyyy"), INDIRECT("'Data Murid'!$E" &amp; ROW($E14)))), "✔", ""))</f>
        <v>#REF!</v>
      </c>
      <c r="G21" s="44" t="e" cm="1">
        <f t="array" aca="1" ref="G21" ca="1">IF(OR(G$11="", INDIRECT("'Data Murid'!$E" &amp; ROW($E14))=""), "", IF(ISNUMBER(SEARCH(TEXT(G$11,"mm/dd/yyyy"), INDIRECT("'Data Murid'!$E" &amp; ROW($E14)))), "✔", ""))</f>
        <v>#REF!</v>
      </c>
      <c r="H21" s="44" t="e" cm="1">
        <f t="array" aca="1" ref="H21" ca="1">IF(OR(H$11="", INDIRECT("'Data Murid'!$E" &amp; ROW($E14))=""), "", IF(ISNUMBER(SEARCH(TEXT(H$11,"mm/dd/yyyy"), INDIRECT("'Data Murid'!$E" &amp; ROW($E14)))), "✔", ""))</f>
        <v>#REF!</v>
      </c>
      <c r="I21" s="44" t="e" cm="1">
        <f t="array" aca="1" ref="I21" ca="1">IF(OR(I$11="", INDIRECT("'Data Murid'!$E" &amp; ROW($E14))=""), "", IF(ISNUMBER(SEARCH(TEXT(I$11,"mm/dd/yyyy"), INDIRECT("'Data Murid'!$E" &amp; ROW($E14)))), "✔", ""))</f>
        <v>#REF!</v>
      </c>
      <c r="J21" s="44" t="e" cm="1">
        <f t="array" aca="1" ref="J21" ca="1">IF(OR(J$11="", INDIRECT("'Data Murid'!$E" &amp; ROW($E14))=""), "", IF(ISNUMBER(SEARCH(TEXT(J$11,"mm/dd/yyyy"), INDIRECT("'Data Murid'!$E" &amp; ROW($E14)))), "✔", ""))</f>
        <v>#REF!</v>
      </c>
      <c r="K21" s="44" t="e" cm="1">
        <f t="array" aca="1" ref="K21" ca="1">IF(OR(K$11="", INDIRECT("'Data Murid'!$E" &amp; ROW($E14))=""), "", IF(ISNUMBER(SEARCH(TEXT(K$11,"mm/dd/yyyy"), INDIRECT("'Data Murid'!$E" &amp; ROW($E14)))), "✔", ""))</f>
        <v>#REF!</v>
      </c>
      <c r="L21" s="44" t="e" cm="1">
        <f t="array" aca="1" ref="L21" ca="1">IF(OR(L$11="", INDIRECT("'Data Murid'!$E" &amp; ROW($E14))=""), "", IF(ISNUMBER(SEARCH(TEXT(L$11,"mm/dd/yyyy"), INDIRECT("'Data Murid'!$E" &amp; ROW($E14)))), "✔", ""))</f>
        <v>#REF!</v>
      </c>
      <c r="M21" s="44" t="e" cm="1">
        <f t="array" aca="1" ref="M21" ca="1">IF(OR(M$11="", INDIRECT("'Data Murid'!$E" &amp; ROW($E14))=""), "", IF(ISNUMBER(SEARCH(TEXT(M$11,"mm/dd/yyyy"), INDIRECT("'Data Murid'!$E" &amp; ROW($E14)))), "✔", ""))</f>
        <v>#REF!</v>
      </c>
      <c r="N21" s="44" t="e" cm="1">
        <f t="array" aca="1" ref="N21" ca="1">IF(OR(N$11="", INDIRECT("'Data Murid'!$E" &amp; ROW($E14))=""), "", IF(ISNUMBER(SEARCH(TEXT(N$11,"mm/dd/yyyy"), INDIRECT("'Data Murid'!$E" &amp; ROW($E14)))), "✔", ""))</f>
        <v>#REF!</v>
      </c>
      <c r="O21" s="44" t="e" cm="1">
        <f t="array" aca="1" ref="O21" ca="1">IF(OR(O$11="", INDIRECT("'Data Murid'!$E" &amp; ROW($E14))=""), "", IF(ISNUMBER(SEARCH(TEXT(O$11,"mm/dd/yyyy"), INDIRECT("'Data Murid'!$E" &amp; ROW($E14)))), "✔", ""))</f>
        <v>#REF!</v>
      </c>
      <c r="P21" s="44" t="e" cm="1">
        <f t="array" aca="1" ref="P21" ca="1">IF(OR(P$11="", INDIRECT("'Data Murid'!$E" &amp; ROW($E14))=""), "", IF(ISNUMBER(SEARCH(TEXT(P$11,"mm/dd/yyyy"), INDIRECT("'Data Murid'!$E" &amp; ROW($E14)))), "✔", ""))</f>
        <v>#REF!</v>
      </c>
      <c r="Q21" s="44" t="e" cm="1">
        <f t="array" aca="1" ref="Q21" ca="1">IF(OR(Q$11="", INDIRECT("'Data Murid'!$E" &amp; ROW($E14))=""), "", IF(ISNUMBER(SEARCH(TEXT(Q$11,"mm/dd/yyyy"), INDIRECT("'Data Murid'!$E" &amp; ROW($E14)))), "✔", ""))</f>
        <v>#REF!</v>
      </c>
      <c r="R21" s="44" t="e" cm="1">
        <f t="array" aca="1" ref="R21" ca="1">IF(OR(R$11="", INDIRECT("'Data Murid'!$E" &amp; ROW($E14))=""), "", IF(ISNUMBER(SEARCH(TEXT(R$11,"mm/dd/yyyy"), INDIRECT("'Data Murid'!$E" &amp; ROW($E14)))), "✔", ""))</f>
        <v>#REF!</v>
      </c>
      <c r="S21" s="44" t="e" cm="1">
        <f t="array" aca="1" ref="S21" ca="1">IF(OR(S$11="", INDIRECT("'Data Murid'!$E" &amp; ROW($E14))=""), "", IF(ISNUMBER(SEARCH(TEXT(S$11,"mm/dd/yyyy"), INDIRECT("'Data Murid'!$E" &amp; ROW($E14)))), "✔", ""))</f>
        <v>#REF!</v>
      </c>
      <c r="T21" s="44" t="e" cm="1">
        <f t="array" aca="1" ref="T21" ca="1">IF(OR(T$11="", INDIRECT("'Data Murid'!$E" &amp; ROW($E14))=""), "", IF(ISNUMBER(SEARCH(TEXT(T$11,"mm/dd/yyyy"), INDIRECT("'Data Murid'!$E" &amp; ROW($E14)))), "✔", ""))</f>
        <v>#REF!</v>
      </c>
      <c r="U21" s="44" t="e" cm="1">
        <f t="array" aca="1" ref="U21" ca="1">IF(OR(U$11="", INDIRECT("'Data Murid'!$E" &amp; ROW($E14))=""), "", IF(ISNUMBER(SEARCH(TEXT(U$11,"mm/dd/yyyy"), INDIRECT("'Data Murid'!$E" &amp; ROW($E14)))), "✔", ""))</f>
        <v>#REF!</v>
      </c>
      <c r="V21" s="44" t="e" cm="1">
        <f t="array" aca="1" ref="V21" ca="1">IF(OR(V$11="", INDIRECT("'Data Murid'!$E" &amp; ROW($E14))=""), "", IF(ISNUMBER(SEARCH(TEXT(V$11,"mm/dd/yyyy"), INDIRECT("'Data Murid'!$E" &amp; ROW($E14)))), "✔", ""))</f>
        <v>#REF!</v>
      </c>
      <c r="W21" s="44" t="e" cm="1">
        <f t="array" aca="1" ref="W21" ca="1">IF(OR(W$11="", INDIRECT("'Data Murid'!$E" &amp; ROW($E14))=""), "", IF(ISNUMBER(SEARCH(TEXT(W$11,"mm/dd/yyyy"), INDIRECT("'Data Murid'!$E" &amp; ROW($E14)))), "✔", ""))</f>
        <v>#REF!</v>
      </c>
      <c r="X21" s="44" t="e" cm="1">
        <f t="array" aca="1" ref="X21" ca="1">IF(OR(X$11="", INDIRECT("'Data Murid'!$E" &amp; ROW($E14))=""), "", IF(ISNUMBER(SEARCH(TEXT(X$11,"mm/dd/yyyy"), INDIRECT("'Data Murid'!$E" &amp; ROW($E14)))), "✔", ""))</f>
        <v>#REF!</v>
      </c>
      <c r="Y21" s="44" t="e" cm="1">
        <f t="array" aca="1" ref="Y21" ca="1">IF(OR(Y$11="", INDIRECT("'Data Murid'!$E" &amp; ROW($E14))=""), "", IF(ISNUMBER(SEARCH(TEXT(Y$11,"mm/dd/yyyy"), INDIRECT("'Data Murid'!$E" &amp; ROW($E14)))), "✔", ""))</f>
        <v>#REF!</v>
      </c>
      <c r="Z21" s="44" t="e" cm="1">
        <f t="array" aca="1" ref="Z21" ca="1">IF(OR(Z$11="", INDIRECT("'Data Murid'!$E" &amp; ROW($E14))=""), "", IF(ISNUMBER(SEARCH(TEXT(Z$11,"mm/dd/yyyy"), INDIRECT("'Data Murid'!$E" &amp; ROW($E14)))), "✔", ""))</f>
        <v>#REF!</v>
      </c>
      <c r="AA21" s="44" t="e" cm="1">
        <f t="array" aca="1" ref="AA21" ca="1">IF(OR(AA$11="", INDIRECT("'Data Murid'!$E" &amp; ROW($E14))=""), "", IF(ISNUMBER(SEARCH(TEXT(AA$11,"mm/dd/yyyy"), INDIRECT("'Data Murid'!$E" &amp; ROW($E14)))), "✔", ""))</f>
        <v>#REF!</v>
      </c>
      <c r="AB21" s="44" t="e" cm="1">
        <f t="array" aca="1" ref="AB21" ca="1">IF(OR(AB$11="", INDIRECT("'Data Murid'!$E" &amp; ROW($E14))=""), "", IF(ISNUMBER(SEARCH(TEXT(AB$11,"mm/dd/yyyy"), INDIRECT("'Data Murid'!$E" &amp; ROW($E14)))), "✔", ""))</f>
        <v>#REF!</v>
      </c>
      <c r="AC21" s="44" t="e" cm="1">
        <f t="array" aca="1" ref="AC21" ca="1">IF(OR(AC$11="", INDIRECT("'Data Murid'!$E" &amp; ROW($E14))=""), "", IF(ISNUMBER(SEARCH(TEXT(AC$11,"mm/dd/yyyy"), INDIRECT("'Data Murid'!$E" &amp; ROW($E14)))), "✔", ""))</f>
        <v>#REF!</v>
      </c>
      <c r="AD21" s="44" t="e" cm="1">
        <f t="array" aca="1" ref="AD21" ca="1">IF(OR(AD$11="", INDIRECT("'Data Murid'!$E" &amp; ROW($E14))=""), "", IF(ISNUMBER(SEARCH(TEXT(AD$11,"mm/dd/yyyy"), INDIRECT("'Data Murid'!$E" &amp; ROW($E14)))), "✔", ""))</f>
        <v>#REF!</v>
      </c>
      <c r="AE21" s="44" t="e" cm="1">
        <f t="array" aca="1" ref="AE21" ca="1">IF(OR(AE$11="", INDIRECT("'Data Murid'!$E" &amp; ROW($E14))=""), "", IF(ISNUMBER(SEARCH(TEXT(AE$11,"mm/dd/yyyy"), INDIRECT("'Data Murid'!$E" &amp; ROW($E14)))), "✔", ""))</f>
        <v>#REF!</v>
      </c>
      <c r="AF21" s="44" t="e" cm="1">
        <f t="array" aca="1" ref="AF21" ca="1">IF(OR(AF$11="", INDIRECT("'Data Murid'!$E" &amp; ROW($E14))=""), "", IF(ISNUMBER(SEARCH(TEXT(AF$11,"mm/dd/yyyy"), INDIRECT("'Data Murid'!$E" &amp; ROW($E14)))), "✔", ""))</f>
        <v>#REF!</v>
      </c>
      <c r="AG21" s="44" t="e" cm="1">
        <f t="array" aca="1" ref="AG21" ca="1">IF(OR(AG$11="", INDIRECT("'Data Murid'!$E" &amp; ROW($E14))=""), "", IF(ISNUMBER(SEARCH(TEXT(AG$11,"mm/dd/yyyy"), INDIRECT("'Data Murid'!$E" &amp; ROW($E14)))), "✔", ""))</f>
        <v>#REF!</v>
      </c>
      <c r="AH21" s="44" t="e" cm="1">
        <f t="array" aca="1" ref="AH21" ca="1">IF(OR(AH$11="", INDIRECT("'Data Murid'!$E" &amp; ROW($E14))=""), "", IF(ISNUMBER(SEARCH(TEXT(AH$11,"mm/dd/yyyy"), INDIRECT("'Data Murid'!$E" &amp; ROW($E14)))), "✔", ""))</f>
        <v>#REF!</v>
      </c>
      <c r="AI21" s="44" t="e" cm="1">
        <f t="array" aca="1" ref="AI21" ca="1">IF(OR(AI$11="", INDIRECT("'Data Murid'!$E" &amp; ROW($E14))=""), "", IF(ISNUMBER(SEARCH(TEXT(AI$11,"mm/dd/yyyy"), INDIRECT("'Data Murid'!$E" &amp; ROW($E14)))), "✔", ""))</f>
        <v>#REF!</v>
      </c>
      <c r="AJ21" s="40">
        <f t="shared" ca="1" si="2"/>
        <v>0</v>
      </c>
    </row>
    <row r="22" spans="1:39" ht="14.25" customHeight="1" x14ac:dyDescent="0.25">
      <c r="A22" s="27">
        <v>8</v>
      </c>
      <c r="B22" s="25" t="e">
        <f ca="1">'rekap absensi seluruhnya'!B27</f>
        <v>#REF!</v>
      </c>
      <c r="C22" s="52" t="e">
        <f ca="1">'rekap absensi seluruhnya'!C27</f>
        <v>#REF!</v>
      </c>
      <c r="D22" s="25" t="e">
        <f ca="1">'rekap absensi seluruhnya'!D27</f>
        <v>#REF!</v>
      </c>
      <c r="E22" s="44" t="e" cm="1">
        <f t="array" aca="1" ref="E22" ca="1">IF(OR(E$11="", INDIRECT("'Data Murid'!$E" &amp; ROW($E15))=""), "", IF(ISNUMBER(SEARCH(TEXT(E$11,"mm/dd/yyyy"), INDIRECT("'Data Murid'!$E" &amp; ROW($E15)))), "✔", ""))</f>
        <v>#REF!</v>
      </c>
      <c r="F22" s="44" t="e" cm="1">
        <f t="array" aca="1" ref="F22" ca="1">IF(OR(F$11="", INDIRECT("'Data Murid'!$E" &amp; ROW($E15))=""), "", IF(ISNUMBER(SEARCH(TEXT(F$11,"mm/dd/yyyy"), INDIRECT("'Data Murid'!$E" &amp; ROW($E15)))), "✔", ""))</f>
        <v>#REF!</v>
      </c>
      <c r="G22" s="44" t="e" cm="1">
        <f t="array" aca="1" ref="G22" ca="1">IF(OR(G$11="", INDIRECT("'Data Murid'!$E" &amp; ROW($E15))=""), "", IF(ISNUMBER(SEARCH(TEXT(G$11,"mm/dd/yyyy"), INDIRECT("'Data Murid'!$E" &amp; ROW($E15)))), "✔", ""))</f>
        <v>#REF!</v>
      </c>
      <c r="H22" s="44" t="e" cm="1">
        <f t="array" aca="1" ref="H22" ca="1">IF(OR(H$11="", INDIRECT("'Data Murid'!$E" &amp; ROW($E15))=""), "", IF(ISNUMBER(SEARCH(TEXT(H$11,"mm/dd/yyyy"), INDIRECT("'Data Murid'!$E" &amp; ROW($E15)))), "✔", ""))</f>
        <v>#REF!</v>
      </c>
      <c r="I22" s="44" t="e" cm="1">
        <f t="array" aca="1" ref="I22" ca="1">IF(OR(I$11="", INDIRECT("'Data Murid'!$E" &amp; ROW($E15))=""), "", IF(ISNUMBER(SEARCH(TEXT(I$11,"mm/dd/yyyy"), INDIRECT("'Data Murid'!$E" &amp; ROW($E15)))), "✔", ""))</f>
        <v>#REF!</v>
      </c>
      <c r="J22" s="44" t="e" cm="1">
        <f t="array" aca="1" ref="J22" ca="1">IF(OR(J$11="", INDIRECT("'Data Murid'!$E" &amp; ROW($E15))=""), "", IF(ISNUMBER(SEARCH(TEXT(J$11,"mm/dd/yyyy"), INDIRECT("'Data Murid'!$E" &amp; ROW($E15)))), "✔", ""))</f>
        <v>#REF!</v>
      </c>
      <c r="K22" s="44" t="e" cm="1">
        <f t="array" aca="1" ref="K22" ca="1">IF(OR(K$11="", INDIRECT("'Data Murid'!$E" &amp; ROW($E15))=""), "", IF(ISNUMBER(SEARCH(TEXT(K$11,"mm/dd/yyyy"), INDIRECT("'Data Murid'!$E" &amp; ROW($E15)))), "✔", ""))</f>
        <v>#REF!</v>
      </c>
      <c r="L22" s="44" t="e" cm="1">
        <f t="array" aca="1" ref="L22" ca="1">IF(OR(L$11="", INDIRECT("'Data Murid'!$E" &amp; ROW($E15))=""), "", IF(ISNUMBER(SEARCH(TEXT(L$11,"mm/dd/yyyy"), INDIRECT("'Data Murid'!$E" &amp; ROW($E15)))), "✔", ""))</f>
        <v>#REF!</v>
      </c>
      <c r="M22" s="44" t="e" cm="1">
        <f t="array" aca="1" ref="M22" ca="1">IF(OR(M$11="", INDIRECT("'Data Murid'!$E" &amp; ROW($E15))=""), "", IF(ISNUMBER(SEARCH(TEXT(M$11,"mm/dd/yyyy"), INDIRECT("'Data Murid'!$E" &amp; ROW($E15)))), "✔", ""))</f>
        <v>#REF!</v>
      </c>
      <c r="N22" s="44" t="e" cm="1">
        <f t="array" aca="1" ref="N22" ca="1">IF(OR(N$11="", INDIRECT("'Data Murid'!$E" &amp; ROW($E15))=""), "", IF(ISNUMBER(SEARCH(TEXT(N$11,"mm/dd/yyyy"), INDIRECT("'Data Murid'!$E" &amp; ROW($E15)))), "✔", ""))</f>
        <v>#REF!</v>
      </c>
      <c r="O22" s="44" t="e" cm="1">
        <f t="array" aca="1" ref="O22" ca="1">IF(OR(O$11="", INDIRECT("'Data Murid'!$E" &amp; ROW($E15))=""), "", IF(ISNUMBER(SEARCH(TEXT(O$11,"mm/dd/yyyy"), INDIRECT("'Data Murid'!$E" &amp; ROW($E15)))), "✔", ""))</f>
        <v>#REF!</v>
      </c>
      <c r="P22" s="44" t="e" cm="1">
        <f t="array" aca="1" ref="P22" ca="1">IF(OR(P$11="", INDIRECT("'Data Murid'!$E" &amp; ROW($E15))=""), "", IF(ISNUMBER(SEARCH(TEXT(P$11,"mm/dd/yyyy"), INDIRECT("'Data Murid'!$E" &amp; ROW($E15)))), "✔", ""))</f>
        <v>#REF!</v>
      </c>
      <c r="Q22" s="44" t="e" cm="1">
        <f t="array" aca="1" ref="Q22" ca="1">IF(OR(Q$11="", INDIRECT("'Data Murid'!$E" &amp; ROW($E15))=""), "", IF(ISNUMBER(SEARCH(TEXT(Q$11,"mm/dd/yyyy"), INDIRECT("'Data Murid'!$E" &amp; ROW($E15)))), "✔", ""))</f>
        <v>#REF!</v>
      </c>
      <c r="R22" s="44" t="e" cm="1">
        <f t="array" aca="1" ref="R22" ca="1">IF(OR(R$11="", INDIRECT("'Data Murid'!$E" &amp; ROW($E15))=""), "", IF(ISNUMBER(SEARCH(TEXT(R$11,"mm/dd/yyyy"), INDIRECT("'Data Murid'!$E" &amp; ROW($E15)))), "✔", ""))</f>
        <v>#REF!</v>
      </c>
      <c r="S22" s="44" t="e" cm="1">
        <f t="array" aca="1" ref="S22" ca="1">IF(OR(S$11="", INDIRECT("'Data Murid'!$E" &amp; ROW($E15))=""), "", IF(ISNUMBER(SEARCH(TEXT(S$11,"mm/dd/yyyy"), INDIRECT("'Data Murid'!$E" &amp; ROW($E15)))), "✔", ""))</f>
        <v>#REF!</v>
      </c>
      <c r="T22" s="44" t="e" cm="1">
        <f t="array" aca="1" ref="T22" ca="1">IF(OR(T$11="", INDIRECT("'Data Murid'!$E" &amp; ROW($E15))=""), "", IF(ISNUMBER(SEARCH(TEXT(T$11,"mm/dd/yyyy"), INDIRECT("'Data Murid'!$E" &amp; ROW($E15)))), "✔", ""))</f>
        <v>#REF!</v>
      </c>
      <c r="U22" s="44" t="e" cm="1">
        <f t="array" aca="1" ref="U22" ca="1">IF(OR(U$11="", INDIRECT("'Data Murid'!$E" &amp; ROW($E15))=""), "", IF(ISNUMBER(SEARCH(TEXT(U$11,"mm/dd/yyyy"), INDIRECT("'Data Murid'!$E" &amp; ROW($E15)))), "✔", ""))</f>
        <v>#REF!</v>
      </c>
      <c r="V22" s="44" t="e" cm="1">
        <f t="array" aca="1" ref="V22" ca="1">IF(OR(V$11="", INDIRECT("'Data Murid'!$E" &amp; ROW($E15))=""), "", IF(ISNUMBER(SEARCH(TEXT(V$11,"mm/dd/yyyy"), INDIRECT("'Data Murid'!$E" &amp; ROW($E15)))), "✔", ""))</f>
        <v>#REF!</v>
      </c>
      <c r="W22" s="44" t="e" cm="1">
        <f t="array" aca="1" ref="W22" ca="1">IF(OR(W$11="", INDIRECT("'Data Murid'!$E" &amp; ROW($E15))=""), "", IF(ISNUMBER(SEARCH(TEXT(W$11,"mm/dd/yyyy"), INDIRECT("'Data Murid'!$E" &amp; ROW($E15)))), "✔", ""))</f>
        <v>#REF!</v>
      </c>
      <c r="X22" s="44" t="e" cm="1">
        <f t="array" aca="1" ref="X22" ca="1">IF(OR(X$11="", INDIRECT("'Data Murid'!$E" &amp; ROW($E15))=""), "", IF(ISNUMBER(SEARCH(TEXT(X$11,"mm/dd/yyyy"), INDIRECT("'Data Murid'!$E" &amp; ROW($E15)))), "✔", ""))</f>
        <v>#REF!</v>
      </c>
      <c r="Y22" s="44" t="e" cm="1">
        <f t="array" aca="1" ref="Y22" ca="1">IF(OR(Y$11="", INDIRECT("'Data Murid'!$E" &amp; ROW($E15))=""), "", IF(ISNUMBER(SEARCH(TEXT(Y$11,"mm/dd/yyyy"), INDIRECT("'Data Murid'!$E" &amp; ROW($E15)))), "✔", ""))</f>
        <v>#REF!</v>
      </c>
      <c r="Z22" s="44" t="e" cm="1">
        <f t="array" aca="1" ref="Z22" ca="1">IF(OR(Z$11="", INDIRECT("'Data Murid'!$E" &amp; ROW($E15))=""), "", IF(ISNUMBER(SEARCH(TEXT(Z$11,"mm/dd/yyyy"), INDIRECT("'Data Murid'!$E" &amp; ROW($E15)))), "✔", ""))</f>
        <v>#REF!</v>
      </c>
      <c r="AA22" s="44" t="e" cm="1">
        <f t="array" aca="1" ref="AA22" ca="1">IF(OR(AA$11="", INDIRECT("'Data Murid'!$E" &amp; ROW($E15))=""), "", IF(ISNUMBER(SEARCH(TEXT(AA$11,"mm/dd/yyyy"), INDIRECT("'Data Murid'!$E" &amp; ROW($E15)))), "✔", ""))</f>
        <v>#REF!</v>
      </c>
      <c r="AB22" s="44" t="e" cm="1">
        <f t="array" aca="1" ref="AB22" ca="1">IF(OR(AB$11="", INDIRECT("'Data Murid'!$E" &amp; ROW($E15))=""), "", IF(ISNUMBER(SEARCH(TEXT(AB$11,"mm/dd/yyyy"), INDIRECT("'Data Murid'!$E" &amp; ROW($E15)))), "✔", ""))</f>
        <v>#REF!</v>
      </c>
      <c r="AC22" s="44" t="e" cm="1">
        <f t="array" aca="1" ref="AC22" ca="1">IF(OR(AC$11="", INDIRECT("'Data Murid'!$E" &amp; ROW($E15))=""), "", IF(ISNUMBER(SEARCH(TEXT(AC$11,"mm/dd/yyyy"), INDIRECT("'Data Murid'!$E" &amp; ROW($E15)))), "✔", ""))</f>
        <v>#REF!</v>
      </c>
      <c r="AD22" s="44" t="e" cm="1">
        <f t="array" aca="1" ref="AD22" ca="1">IF(OR(AD$11="", INDIRECT("'Data Murid'!$E" &amp; ROW($E15))=""), "", IF(ISNUMBER(SEARCH(TEXT(AD$11,"mm/dd/yyyy"), INDIRECT("'Data Murid'!$E" &amp; ROW($E15)))), "✔", ""))</f>
        <v>#REF!</v>
      </c>
      <c r="AE22" s="44" t="e" cm="1">
        <f t="array" aca="1" ref="AE22" ca="1">IF(OR(AE$11="", INDIRECT("'Data Murid'!$E" &amp; ROW($E15))=""), "", IF(ISNUMBER(SEARCH(TEXT(AE$11,"mm/dd/yyyy"), INDIRECT("'Data Murid'!$E" &amp; ROW($E15)))), "✔", ""))</f>
        <v>#REF!</v>
      </c>
      <c r="AF22" s="44" t="e" cm="1">
        <f t="array" aca="1" ref="AF22" ca="1">IF(OR(AF$11="", INDIRECT("'Data Murid'!$E" &amp; ROW($E15))=""), "", IF(ISNUMBER(SEARCH(TEXT(AF$11,"mm/dd/yyyy"), INDIRECT("'Data Murid'!$E" &amp; ROW($E15)))), "✔", ""))</f>
        <v>#REF!</v>
      </c>
      <c r="AG22" s="44" t="e" cm="1">
        <f t="array" aca="1" ref="AG22" ca="1">IF(OR(AG$11="", INDIRECT("'Data Murid'!$E" &amp; ROW($E15))=""), "", IF(ISNUMBER(SEARCH(TEXT(AG$11,"mm/dd/yyyy"), INDIRECT("'Data Murid'!$E" &amp; ROW($E15)))), "✔", ""))</f>
        <v>#REF!</v>
      </c>
      <c r="AH22" s="44" t="e" cm="1">
        <f t="array" aca="1" ref="AH22" ca="1">IF(OR(AH$11="", INDIRECT("'Data Murid'!$E" &amp; ROW($E15))=""), "", IF(ISNUMBER(SEARCH(TEXT(AH$11,"mm/dd/yyyy"), INDIRECT("'Data Murid'!$E" &amp; ROW($E15)))), "✔", ""))</f>
        <v>#REF!</v>
      </c>
      <c r="AI22" s="44" t="e" cm="1">
        <f t="array" aca="1" ref="AI22" ca="1">IF(OR(AI$11="", INDIRECT("'Data Murid'!$E" &amp; ROW($E15))=""), "", IF(ISNUMBER(SEARCH(TEXT(AI$11,"mm/dd/yyyy"), INDIRECT("'Data Murid'!$E" &amp; ROW($E15)))), "✔", ""))</f>
        <v>#REF!</v>
      </c>
      <c r="AJ22" s="40">
        <f t="shared" ca="1" si="2"/>
        <v>0</v>
      </c>
      <c r="AM22" s="43"/>
    </row>
    <row r="23" spans="1:39" ht="14.25" customHeight="1" x14ac:dyDescent="0.25">
      <c r="A23" s="27">
        <v>9</v>
      </c>
      <c r="B23" s="25" t="e">
        <f ca="1">'rekap absensi seluruhnya'!B28</f>
        <v>#REF!</v>
      </c>
      <c r="C23" s="52" t="e">
        <f ca="1">'rekap absensi seluruhnya'!C28</f>
        <v>#REF!</v>
      </c>
      <c r="D23" s="25" t="e">
        <f ca="1">'rekap absensi seluruhnya'!D28</f>
        <v>#REF!</v>
      </c>
      <c r="E23" s="44" t="e" cm="1">
        <f t="array" aca="1" ref="E23" ca="1">IF(OR(E$11="", INDIRECT("'Data Murid'!$E" &amp; ROW($E16))=""), "", IF(ISNUMBER(SEARCH(TEXT(E$11,"mm/dd/yyyy"), INDIRECT("'Data Murid'!$E" &amp; ROW($E16)))), "✔", ""))</f>
        <v>#REF!</v>
      </c>
      <c r="F23" s="44" t="e" cm="1">
        <f t="array" aca="1" ref="F23" ca="1">IF(OR(F$11="", INDIRECT("'Data Murid'!$E" &amp; ROW($E16))=""), "", IF(ISNUMBER(SEARCH(TEXT(F$11,"mm/dd/yyyy"), INDIRECT("'Data Murid'!$E" &amp; ROW($E16)))), "✔", ""))</f>
        <v>#REF!</v>
      </c>
      <c r="G23" s="44" t="e" cm="1">
        <f t="array" aca="1" ref="G23" ca="1">IF(OR(G$11="", INDIRECT("'Data Murid'!$E" &amp; ROW($E16))=""), "", IF(ISNUMBER(SEARCH(TEXT(G$11,"mm/dd/yyyy"), INDIRECT("'Data Murid'!$E" &amp; ROW($E16)))), "✔", ""))</f>
        <v>#REF!</v>
      </c>
      <c r="H23" s="44" t="e" cm="1">
        <f t="array" aca="1" ref="H23" ca="1">IF(OR(H$11="", INDIRECT("'Data Murid'!$E" &amp; ROW($E16))=""), "", IF(ISNUMBER(SEARCH(TEXT(H$11,"mm/dd/yyyy"), INDIRECT("'Data Murid'!$E" &amp; ROW($E16)))), "✔", ""))</f>
        <v>#REF!</v>
      </c>
      <c r="I23" s="44" t="e" cm="1">
        <f t="array" aca="1" ref="I23" ca="1">IF(OR(I$11="", INDIRECT("'Data Murid'!$E" &amp; ROW($E16))=""), "", IF(ISNUMBER(SEARCH(TEXT(I$11,"mm/dd/yyyy"), INDIRECT("'Data Murid'!$E" &amp; ROW($E16)))), "✔", ""))</f>
        <v>#REF!</v>
      </c>
      <c r="J23" s="44" t="e" cm="1">
        <f t="array" aca="1" ref="J23" ca="1">IF(OR(J$11="", INDIRECT("'Data Murid'!$E" &amp; ROW($E16))=""), "", IF(ISNUMBER(SEARCH(TEXT(J$11,"mm/dd/yyyy"), INDIRECT("'Data Murid'!$E" &amp; ROW($E16)))), "✔", ""))</f>
        <v>#REF!</v>
      </c>
      <c r="K23" s="44" t="e" cm="1">
        <f t="array" aca="1" ref="K23" ca="1">IF(OR(K$11="", INDIRECT("'Data Murid'!$E" &amp; ROW($E16))=""), "", IF(ISNUMBER(SEARCH(TEXT(K$11,"mm/dd/yyyy"), INDIRECT("'Data Murid'!$E" &amp; ROW($E16)))), "✔", ""))</f>
        <v>#REF!</v>
      </c>
      <c r="L23" s="44" t="e" cm="1">
        <f t="array" aca="1" ref="L23" ca="1">IF(OR(L$11="", INDIRECT("'Data Murid'!$E" &amp; ROW($E16))=""), "", IF(ISNUMBER(SEARCH(TEXT(L$11,"mm/dd/yyyy"), INDIRECT("'Data Murid'!$E" &amp; ROW($E16)))), "✔", ""))</f>
        <v>#REF!</v>
      </c>
      <c r="M23" s="44" t="e" cm="1">
        <f t="array" aca="1" ref="M23" ca="1">IF(OR(M$11="", INDIRECT("'Data Murid'!$E" &amp; ROW($E16))=""), "", IF(ISNUMBER(SEARCH(TEXT(M$11,"mm/dd/yyyy"), INDIRECT("'Data Murid'!$E" &amp; ROW($E16)))), "✔", ""))</f>
        <v>#REF!</v>
      </c>
      <c r="N23" s="44" t="e" cm="1">
        <f t="array" aca="1" ref="N23" ca="1">IF(OR(N$11="", INDIRECT("'Data Murid'!$E" &amp; ROW($E16))=""), "", IF(ISNUMBER(SEARCH(TEXT(N$11,"mm/dd/yyyy"), INDIRECT("'Data Murid'!$E" &amp; ROW($E16)))), "✔", ""))</f>
        <v>#REF!</v>
      </c>
      <c r="O23" s="44" t="e" cm="1">
        <f t="array" aca="1" ref="O23" ca="1">IF(OR(O$11="", INDIRECT("'Data Murid'!$E" &amp; ROW($E16))=""), "", IF(ISNUMBER(SEARCH(TEXT(O$11,"mm/dd/yyyy"), INDIRECT("'Data Murid'!$E" &amp; ROW($E16)))), "✔", ""))</f>
        <v>#REF!</v>
      </c>
      <c r="P23" s="44" t="e" cm="1">
        <f t="array" aca="1" ref="P23" ca="1">IF(OR(P$11="", INDIRECT("'Data Murid'!$E" &amp; ROW($E16))=""), "", IF(ISNUMBER(SEARCH(TEXT(P$11,"mm/dd/yyyy"), INDIRECT("'Data Murid'!$E" &amp; ROW($E16)))), "✔", ""))</f>
        <v>#REF!</v>
      </c>
      <c r="Q23" s="44" t="e" cm="1">
        <f t="array" aca="1" ref="Q23" ca="1">IF(OR(Q$11="", INDIRECT("'Data Murid'!$E" &amp; ROW($E16))=""), "", IF(ISNUMBER(SEARCH(TEXT(Q$11,"mm/dd/yyyy"), INDIRECT("'Data Murid'!$E" &amp; ROW($E16)))), "✔", ""))</f>
        <v>#REF!</v>
      </c>
      <c r="R23" s="44" t="e" cm="1">
        <f t="array" aca="1" ref="R23" ca="1">IF(OR(R$11="", INDIRECT("'Data Murid'!$E" &amp; ROW($E16))=""), "", IF(ISNUMBER(SEARCH(TEXT(R$11,"mm/dd/yyyy"), INDIRECT("'Data Murid'!$E" &amp; ROW($E16)))), "✔", ""))</f>
        <v>#REF!</v>
      </c>
      <c r="S23" s="44" t="e" cm="1">
        <f t="array" aca="1" ref="S23" ca="1">IF(OR(S$11="", INDIRECT("'Data Murid'!$E" &amp; ROW($E16))=""), "", IF(ISNUMBER(SEARCH(TEXT(S$11,"mm/dd/yyyy"), INDIRECT("'Data Murid'!$E" &amp; ROW($E16)))), "✔", ""))</f>
        <v>#REF!</v>
      </c>
      <c r="T23" s="44" t="e" cm="1">
        <f t="array" aca="1" ref="T23" ca="1">IF(OR(T$11="", INDIRECT("'Data Murid'!$E" &amp; ROW($E16))=""), "", IF(ISNUMBER(SEARCH(TEXT(T$11,"mm/dd/yyyy"), INDIRECT("'Data Murid'!$E" &amp; ROW($E16)))), "✔", ""))</f>
        <v>#REF!</v>
      </c>
      <c r="U23" s="44" t="e" cm="1">
        <f t="array" aca="1" ref="U23" ca="1">IF(OR(U$11="", INDIRECT("'Data Murid'!$E" &amp; ROW($E16))=""), "", IF(ISNUMBER(SEARCH(TEXT(U$11,"mm/dd/yyyy"), INDIRECT("'Data Murid'!$E" &amp; ROW($E16)))), "✔", ""))</f>
        <v>#REF!</v>
      </c>
      <c r="V23" s="44" t="e" cm="1">
        <f t="array" aca="1" ref="V23" ca="1">IF(OR(V$11="", INDIRECT("'Data Murid'!$E" &amp; ROW($E16))=""), "", IF(ISNUMBER(SEARCH(TEXT(V$11,"mm/dd/yyyy"), INDIRECT("'Data Murid'!$E" &amp; ROW($E16)))), "✔", ""))</f>
        <v>#REF!</v>
      </c>
      <c r="W23" s="44" t="e" cm="1">
        <f t="array" aca="1" ref="W23" ca="1">IF(OR(W$11="", INDIRECT("'Data Murid'!$E" &amp; ROW($E16))=""), "", IF(ISNUMBER(SEARCH(TEXT(W$11,"mm/dd/yyyy"), INDIRECT("'Data Murid'!$E" &amp; ROW($E16)))), "✔", ""))</f>
        <v>#REF!</v>
      </c>
      <c r="X23" s="44" t="e" cm="1">
        <f t="array" aca="1" ref="X23" ca="1">IF(OR(X$11="", INDIRECT("'Data Murid'!$E" &amp; ROW($E16))=""), "", IF(ISNUMBER(SEARCH(TEXT(X$11,"mm/dd/yyyy"), INDIRECT("'Data Murid'!$E" &amp; ROW($E16)))), "✔", ""))</f>
        <v>#REF!</v>
      </c>
      <c r="Y23" s="44" t="e" cm="1">
        <f t="array" aca="1" ref="Y23" ca="1">IF(OR(Y$11="", INDIRECT("'Data Murid'!$E" &amp; ROW($E16))=""), "", IF(ISNUMBER(SEARCH(TEXT(Y$11,"mm/dd/yyyy"), INDIRECT("'Data Murid'!$E" &amp; ROW($E16)))), "✔", ""))</f>
        <v>#REF!</v>
      </c>
      <c r="Z23" s="44" t="e" cm="1">
        <f t="array" aca="1" ref="Z23" ca="1">IF(OR(Z$11="", INDIRECT("'Data Murid'!$E" &amp; ROW($E16))=""), "", IF(ISNUMBER(SEARCH(TEXT(Z$11,"mm/dd/yyyy"), INDIRECT("'Data Murid'!$E" &amp; ROW($E16)))), "✔", ""))</f>
        <v>#REF!</v>
      </c>
      <c r="AA23" s="44" t="e" cm="1">
        <f t="array" aca="1" ref="AA23" ca="1">IF(OR(AA$11="", INDIRECT("'Data Murid'!$E" &amp; ROW($E16))=""), "", IF(ISNUMBER(SEARCH(TEXT(AA$11,"mm/dd/yyyy"), INDIRECT("'Data Murid'!$E" &amp; ROW($E16)))), "✔", ""))</f>
        <v>#REF!</v>
      </c>
      <c r="AB23" s="44" t="e" cm="1">
        <f t="array" aca="1" ref="AB23" ca="1">IF(OR(AB$11="", INDIRECT("'Data Murid'!$E" &amp; ROW($E16))=""), "", IF(ISNUMBER(SEARCH(TEXT(AB$11,"mm/dd/yyyy"), INDIRECT("'Data Murid'!$E" &amp; ROW($E16)))), "✔", ""))</f>
        <v>#REF!</v>
      </c>
      <c r="AC23" s="44" t="e" cm="1">
        <f t="array" aca="1" ref="AC23" ca="1">IF(OR(AC$11="", INDIRECT("'Data Murid'!$E" &amp; ROW($E16))=""), "", IF(ISNUMBER(SEARCH(TEXT(AC$11,"mm/dd/yyyy"), INDIRECT("'Data Murid'!$E" &amp; ROW($E16)))), "✔", ""))</f>
        <v>#REF!</v>
      </c>
      <c r="AD23" s="44" t="e" cm="1">
        <f t="array" aca="1" ref="AD23" ca="1">IF(OR(AD$11="", INDIRECT("'Data Murid'!$E" &amp; ROW($E16))=""), "", IF(ISNUMBER(SEARCH(TEXT(AD$11,"mm/dd/yyyy"), INDIRECT("'Data Murid'!$E" &amp; ROW($E16)))), "✔", ""))</f>
        <v>#REF!</v>
      </c>
      <c r="AE23" s="44" t="e" cm="1">
        <f t="array" aca="1" ref="AE23" ca="1">IF(OR(AE$11="", INDIRECT("'Data Murid'!$E" &amp; ROW($E16))=""), "", IF(ISNUMBER(SEARCH(TEXT(AE$11,"mm/dd/yyyy"), INDIRECT("'Data Murid'!$E" &amp; ROW($E16)))), "✔", ""))</f>
        <v>#REF!</v>
      </c>
      <c r="AF23" s="44" t="e" cm="1">
        <f t="array" aca="1" ref="AF23" ca="1">IF(OR(AF$11="", INDIRECT("'Data Murid'!$E" &amp; ROW($E16))=""), "", IF(ISNUMBER(SEARCH(TEXT(AF$11,"mm/dd/yyyy"), INDIRECT("'Data Murid'!$E" &amp; ROW($E16)))), "✔", ""))</f>
        <v>#REF!</v>
      </c>
      <c r="AG23" s="44" t="e" cm="1">
        <f t="array" aca="1" ref="AG23" ca="1">IF(OR(AG$11="", INDIRECT("'Data Murid'!$E" &amp; ROW($E16))=""), "", IF(ISNUMBER(SEARCH(TEXT(AG$11,"mm/dd/yyyy"), INDIRECT("'Data Murid'!$E" &amp; ROW($E16)))), "✔", ""))</f>
        <v>#REF!</v>
      </c>
      <c r="AH23" s="44" t="e" cm="1">
        <f t="array" aca="1" ref="AH23" ca="1">IF(OR(AH$11="", INDIRECT("'Data Murid'!$E" &amp; ROW($E16))=""), "", IF(ISNUMBER(SEARCH(TEXT(AH$11,"mm/dd/yyyy"), INDIRECT("'Data Murid'!$E" &amp; ROW($E16)))), "✔", ""))</f>
        <v>#REF!</v>
      </c>
      <c r="AI23" s="44" t="e" cm="1">
        <f t="array" aca="1" ref="AI23" ca="1">IF(OR(AI$11="", INDIRECT("'Data Murid'!$E" &amp; ROW($E16))=""), "", IF(ISNUMBER(SEARCH(TEXT(AI$11,"mm/dd/yyyy"), INDIRECT("'Data Murid'!$E" &amp; ROW($E16)))), "✔", ""))</f>
        <v>#REF!</v>
      </c>
      <c r="AJ23" s="40">
        <f t="shared" ca="1" si="2"/>
        <v>0</v>
      </c>
    </row>
    <row r="24" spans="1:39" ht="14.25" customHeight="1" x14ac:dyDescent="0.25">
      <c r="A24" s="27">
        <v>10</v>
      </c>
      <c r="B24" s="25" t="e">
        <f ca="1">'rekap absensi seluruhnya'!B29</f>
        <v>#REF!</v>
      </c>
      <c r="C24" s="52" t="e">
        <f ca="1">'rekap absensi seluruhnya'!C29</f>
        <v>#REF!</v>
      </c>
      <c r="D24" s="25" t="e">
        <f ca="1">'rekap absensi seluruhnya'!D29</f>
        <v>#REF!</v>
      </c>
      <c r="E24" s="44" t="e" cm="1">
        <f t="array" aca="1" ref="E24" ca="1">IF(OR(E$11="", INDIRECT("'Data Murid'!$E" &amp; ROW($E17))=""), "", IF(ISNUMBER(SEARCH(TEXT(E$11,"mm/dd/yyyy"), INDIRECT("'Data Murid'!$E" &amp; ROW($E17)))), "✔", ""))</f>
        <v>#REF!</v>
      </c>
      <c r="F24" s="44" t="e" cm="1">
        <f t="array" aca="1" ref="F24" ca="1">IF(OR(F$11="", INDIRECT("'Data Murid'!$E" &amp; ROW($E17))=""), "", IF(ISNUMBER(SEARCH(TEXT(F$11,"mm/dd/yyyy"), INDIRECT("'Data Murid'!$E" &amp; ROW($E17)))), "✔", ""))</f>
        <v>#REF!</v>
      </c>
      <c r="G24" s="44" t="e" cm="1">
        <f t="array" aca="1" ref="G24" ca="1">IF(OR(G$11="", INDIRECT("'Data Murid'!$E" &amp; ROW($E17))=""), "", IF(ISNUMBER(SEARCH(TEXT(G$11,"mm/dd/yyyy"), INDIRECT("'Data Murid'!$E" &amp; ROW($E17)))), "✔", ""))</f>
        <v>#REF!</v>
      </c>
      <c r="H24" s="44" t="e" cm="1">
        <f t="array" aca="1" ref="H24" ca="1">IF(OR(H$11="", INDIRECT("'Data Murid'!$E" &amp; ROW($E17))=""), "", IF(ISNUMBER(SEARCH(TEXT(H$11,"mm/dd/yyyy"), INDIRECT("'Data Murid'!$E" &amp; ROW($E17)))), "✔", ""))</f>
        <v>#REF!</v>
      </c>
      <c r="I24" s="44" t="e" cm="1">
        <f t="array" aca="1" ref="I24" ca="1">IF(OR(I$11="", INDIRECT("'Data Murid'!$E" &amp; ROW($E17))=""), "", IF(ISNUMBER(SEARCH(TEXT(I$11,"mm/dd/yyyy"), INDIRECT("'Data Murid'!$E" &amp; ROW($E17)))), "✔", ""))</f>
        <v>#REF!</v>
      </c>
      <c r="J24" s="44" t="e" cm="1">
        <f t="array" aca="1" ref="J24" ca="1">IF(OR(J$11="", INDIRECT("'Data Murid'!$E" &amp; ROW($E17))=""), "", IF(ISNUMBER(SEARCH(TEXT(J$11,"mm/dd/yyyy"), INDIRECT("'Data Murid'!$E" &amp; ROW($E17)))), "✔", ""))</f>
        <v>#REF!</v>
      </c>
      <c r="K24" s="44" t="e" cm="1">
        <f t="array" aca="1" ref="K24" ca="1">IF(OR(K$11="", INDIRECT("'Data Murid'!$E" &amp; ROW($E17))=""), "", IF(ISNUMBER(SEARCH(TEXT(K$11,"mm/dd/yyyy"), INDIRECT("'Data Murid'!$E" &amp; ROW($E17)))), "✔", ""))</f>
        <v>#REF!</v>
      </c>
      <c r="L24" s="44" t="e" cm="1">
        <f t="array" aca="1" ref="L24" ca="1">IF(OR(L$11="", INDIRECT("'Data Murid'!$E" &amp; ROW($E17))=""), "", IF(ISNUMBER(SEARCH(TEXT(L$11,"mm/dd/yyyy"), INDIRECT("'Data Murid'!$E" &amp; ROW($E17)))), "✔", ""))</f>
        <v>#REF!</v>
      </c>
      <c r="M24" s="44" t="e" cm="1">
        <f t="array" aca="1" ref="M24" ca="1">IF(OR(M$11="", INDIRECT("'Data Murid'!$E" &amp; ROW($E17))=""), "", IF(ISNUMBER(SEARCH(TEXT(M$11,"mm/dd/yyyy"), INDIRECT("'Data Murid'!$E" &amp; ROW($E17)))), "✔", ""))</f>
        <v>#REF!</v>
      </c>
      <c r="N24" s="44" t="e" cm="1">
        <f t="array" aca="1" ref="N24" ca="1">IF(OR(N$11="", INDIRECT("'Data Murid'!$E" &amp; ROW($E17))=""), "", IF(ISNUMBER(SEARCH(TEXT(N$11,"mm/dd/yyyy"), INDIRECT("'Data Murid'!$E" &amp; ROW($E17)))), "✔", ""))</f>
        <v>#REF!</v>
      </c>
      <c r="O24" s="44" t="e" cm="1">
        <f t="array" aca="1" ref="O24" ca="1">IF(OR(O$11="", INDIRECT("'Data Murid'!$E" &amp; ROW($E17))=""), "", IF(ISNUMBER(SEARCH(TEXT(O$11,"mm/dd/yyyy"), INDIRECT("'Data Murid'!$E" &amp; ROW($E17)))), "✔", ""))</f>
        <v>#REF!</v>
      </c>
      <c r="P24" s="44" t="e" cm="1">
        <f t="array" aca="1" ref="P24" ca="1">IF(OR(P$11="", INDIRECT("'Data Murid'!$E" &amp; ROW($E17))=""), "", IF(ISNUMBER(SEARCH(TEXT(P$11,"mm/dd/yyyy"), INDIRECT("'Data Murid'!$E" &amp; ROW($E17)))), "✔", ""))</f>
        <v>#REF!</v>
      </c>
      <c r="Q24" s="44" t="e" cm="1">
        <f t="array" aca="1" ref="Q24" ca="1">IF(OR(Q$11="", INDIRECT("'Data Murid'!$E" &amp; ROW($E17))=""), "", IF(ISNUMBER(SEARCH(TEXT(Q$11,"mm/dd/yyyy"), INDIRECT("'Data Murid'!$E" &amp; ROW($E17)))), "✔", ""))</f>
        <v>#REF!</v>
      </c>
      <c r="R24" s="44" t="e" cm="1">
        <f t="array" aca="1" ref="R24" ca="1">IF(OR(R$11="", INDIRECT("'Data Murid'!$E" &amp; ROW($E17))=""), "", IF(ISNUMBER(SEARCH(TEXT(R$11,"mm/dd/yyyy"), INDIRECT("'Data Murid'!$E" &amp; ROW($E17)))), "✔", ""))</f>
        <v>#REF!</v>
      </c>
      <c r="S24" s="44" t="e" cm="1">
        <f t="array" aca="1" ref="S24" ca="1">IF(OR(S$11="", INDIRECT("'Data Murid'!$E" &amp; ROW($E17))=""), "", IF(ISNUMBER(SEARCH(TEXT(S$11,"mm/dd/yyyy"), INDIRECT("'Data Murid'!$E" &amp; ROW($E17)))), "✔", ""))</f>
        <v>#REF!</v>
      </c>
      <c r="T24" s="44" t="e" cm="1">
        <f t="array" aca="1" ref="T24" ca="1">IF(OR(T$11="", INDIRECT("'Data Murid'!$E" &amp; ROW($E17))=""), "", IF(ISNUMBER(SEARCH(TEXT(T$11,"mm/dd/yyyy"), INDIRECT("'Data Murid'!$E" &amp; ROW($E17)))), "✔", ""))</f>
        <v>#REF!</v>
      </c>
      <c r="U24" s="44" t="e" cm="1">
        <f t="array" aca="1" ref="U24" ca="1">IF(OR(U$11="", INDIRECT("'Data Murid'!$E" &amp; ROW($E17))=""), "", IF(ISNUMBER(SEARCH(TEXT(U$11,"mm/dd/yyyy"), INDIRECT("'Data Murid'!$E" &amp; ROW($E17)))), "✔", ""))</f>
        <v>#REF!</v>
      </c>
      <c r="V24" s="44" t="e" cm="1">
        <f t="array" aca="1" ref="V24" ca="1">IF(OR(V$11="", INDIRECT("'Data Murid'!$E" &amp; ROW($E17))=""), "", IF(ISNUMBER(SEARCH(TEXT(V$11,"mm/dd/yyyy"), INDIRECT("'Data Murid'!$E" &amp; ROW($E17)))), "✔", ""))</f>
        <v>#REF!</v>
      </c>
      <c r="W24" s="44" t="e" cm="1">
        <f t="array" aca="1" ref="W24" ca="1">IF(OR(W$11="", INDIRECT("'Data Murid'!$E" &amp; ROW($E17))=""), "", IF(ISNUMBER(SEARCH(TEXT(W$11,"mm/dd/yyyy"), INDIRECT("'Data Murid'!$E" &amp; ROW($E17)))), "✔", ""))</f>
        <v>#REF!</v>
      </c>
      <c r="X24" s="44" t="e" cm="1">
        <f t="array" aca="1" ref="X24" ca="1">IF(OR(X$11="", INDIRECT("'Data Murid'!$E" &amp; ROW($E17))=""), "", IF(ISNUMBER(SEARCH(TEXT(X$11,"mm/dd/yyyy"), INDIRECT("'Data Murid'!$E" &amp; ROW($E17)))), "✔", ""))</f>
        <v>#REF!</v>
      </c>
      <c r="Y24" s="44" t="e" cm="1">
        <f t="array" aca="1" ref="Y24" ca="1">IF(OR(Y$11="", INDIRECT("'Data Murid'!$E" &amp; ROW($E17))=""), "", IF(ISNUMBER(SEARCH(TEXT(Y$11,"mm/dd/yyyy"), INDIRECT("'Data Murid'!$E" &amp; ROW($E17)))), "✔", ""))</f>
        <v>#REF!</v>
      </c>
      <c r="Z24" s="44" t="e" cm="1">
        <f t="array" aca="1" ref="Z24" ca="1">IF(OR(Z$11="", INDIRECT("'Data Murid'!$E" &amp; ROW($E17))=""), "", IF(ISNUMBER(SEARCH(TEXT(Z$11,"mm/dd/yyyy"), INDIRECT("'Data Murid'!$E" &amp; ROW($E17)))), "✔", ""))</f>
        <v>#REF!</v>
      </c>
      <c r="AA24" s="44" t="e" cm="1">
        <f t="array" aca="1" ref="AA24" ca="1">IF(OR(AA$11="", INDIRECT("'Data Murid'!$E" &amp; ROW($E17))=""), "", IF(ISNUMBER(SEARCH(TEXT(AA$11,"mm/dd/yyyy"), INDIRECT("'Data Murid'!$E" &amp; ROW($E17)))), "✔", ""))</f>
        <v>#REF!</v>
      </c>
      <c r="AB24" s="44" t="e" cm="1">
        <f t="array" aca="1" ref="AB24" ca="1">IF(OR(AB$11="", INDIRECT("'Data Murid'!$E" &amp; ROW($E17))=""), "", IF(ISNUMBER(SEARCH(TEXT(AB$11,"mm/dd/yyyy"), INDIRECT("'Data Murid'!$E" &amp; ROW($E17)))), "✔", ""))</f>
        <v>#REF!</v>
      </c>
      <c r="AC24" s="44" t="e" cm="1">
        <f t="array" aca="1" ref="AC24" ca="1">IF(OR(AC$11="", INDIRECT("'Data Murid'!$E" &amp; ROW($E17))=""), "", IF(ISNUMBER(SEARCH(TEXT(AC$11,"mm/dd/yyyy"), INDIRECT("'Data Murid'!$E" &amp; ROW($E17)))), "✔", ""))</f>
        <v>#REF!</v>
      </c>
      <c r="AD24" s="44" t="e" cm="1">
        <f t="array" aca="1" ref="AD24" ca="1">IF(OR(AD$11="", INDIRECT("'Data Murid'!$E" &amp; ROW($E17))=""), "", IF(ISNUMBER(SEARCH(TEXT(AD$11,"mm/dd/yyyy"), INDIRECT("'Data Murid'!$E" &amp; ROW($E17)))), "✔", ""))</f>
        <v>#REF!</v>
      </c>
      <c r="AE24" s="44" t="e" cm="1">
        <f t="array" aca="1" ref="AE24" ca="1">IF(OR(AE$11="", INDIRECT("'Data Murid'!$E" &amp; ROW($E17))=""), "", IF(ISNUMBER(SEARCH(TEXT(AE$11,"mm/dd/yyyy"), INDIRECT("'Data Murid'!$E" &amp; ROW($E17)))), "✔", ""))</f>
        <v>#REF!</v>
      </c>
      <c r="AF24" s="44" t="e" cm="1">
        <f t="array" aca="1" ref="AF24" ca="1">IF(OR(AF$11="", INDIRECT("'Data Murid'!$E" &amp; ROW($E17))=""), "", IF(ISNUMBER(SEARCH(TEXT(AF$11,"mm/dd/yyyy"), INDIRECT("'Data Murid'!$E" &amp; ROW($E17)))), "✔", ""))</f>
        <v>#REF!</v>
      </c>
      <c r="AG24" s="44" t="e" cm="1">
        <f t="array" aca="1" ref="AG24" ca="1">IF(OR(AG$11="", INDIRECT("'Data Murid'!$E" &amp; ROW($E17))=""), "", IF(ISNUMBER(SEARCH(TEXT(AG$11,"mm/dd/yyyy"), INDIRECT("'Data Murid'!$E" &amp; ROW($E17)))), "✔", ""))</f>
        <v>#REF!</v>
      </c>
      <c r="AH24" s="44" t="e" cm="1">
        <f t="array" aca="1" ref="AH24" ca="1">IF(OR(AH$11="", INDIRECT("'Data Murid'!$E" &amp; ROW($E17))=""), "", IF(ISNUMBER(SEARCH(TEXT(AH$11,"mm/dd/yyyy"), INDIRECT("'Data Murid'!$E" &amp; ROW($E17)))), "✔", ""))</f>
        <v>#REF!</v>
      </c>
      <c r="AI24" s="44" t="e" cm="1">
        <f t="array" aca="1" ref="AI24" ca="1">IF(OR(AI$11="", INDIRECT("'Data Murid'!$E" &amp; ROW($E17))=""), "", IF(ISNUMBER(SEARCH(TEXT(AI$11,"mm/dd/yyyy"), INDIRECT("'Data Murid'!$E" &amp; ROW($E17)))), "✔", ""))</f>
        <v>#REF!</v>
      </c>
      <c r="AJ24" s="40">
        <f t="shared" ca="1" si="2"/>
        <v>0</v>
      </c>
    </row>
    <row r="25" spans="1:39" ht="14.25" customHeight="1" x14ac:dyDescent="0.25">
      <c r="A25" s="27">
        <v>11</v>
      </c>
      <c r="B25" s="25" t="e">
        <f ca="1">'rekap absensi seluruhnya'!B30</f>
        <v>#REF!</v>
      </c>
      <c r="C25" s="52" t="e">
        <f ca="1">'rekap absensi seluruhnya'!C30</f>
        <v>#REF!</v>
      </c>
      <c r="D25" s="25" t="e">
        <f ca="1">'rekap absensi seluruhnya'!D30</f>
        <v>#REF!</v>
      </c>
      <c r="E25" s="44" t="e" cm="1">
        <f t="array" aca="1" ref="E25" ca="1">IF(OR(E$11="", INDIRECT("'Data Murid'!$E" &amp; ROW($E18))=""), "", IF(ISNUMBER(SEARCH(TEXT(E$11,"mm/dd/yyyy"), INDIRECT("'Data Murid'!$E" &amp; ROW($E18)))), "✔", ""))</f>
        <v>#REF!</v>
      </c>
      <c r="F25" s="44" t="e" cm="1">
        <f t="array" aca="1" ref="F25" ca="1">IF(OR(F$11="", INDIRECT("'Data Murid'!$E" &amp; ROW($E18))=""), "", IF(ISNUMBER(SEARCH(TEXT(F$11,"mm/dd/yyyy"), INDIRECT("'Data Murid'!$E" &amp; ROW($E18)))), "✔", ""))</f>
        <v>#REF!</v>
      </c>
      <c r="G25" s="44" t="e" cm="1">
        <f t="array" aca="1" ref="G25" ca="1">IF(OR(G$11="", INDIRECT("'Data Murid'!$E" &amp; ROW($E18))=""), "", IF(ISNUMBER(SEARCH(TEXT(G$11,"mm/dd/yyyy"), INDIRECT("'Data Murid'!$E" &amp; ROW($E18)))), "✔", ""))</f>
        <v>#REF!</v>
      </c>
      <c r="H25" s="44" t="e" cm="1">
        <f t="array" aca="1" ref="H25" ca="1">IF(OR(H$11="", INDIRECT("'Data Murid'!$E" &amp; ROW($E18))=""), "", IF(ISNUMBER(SEARCH(TEXT(H$11,"mm/dd/yyyy"), INDIRECT("'Data Murid'!$E" &amp; ROW($E18)))), "✔", ""))</f>
        <v>#REF!</v>
      </c>
      <c r="I25" s="44" t="e" cm="1">
        <f t="array" aca="1" ref="I25" ca="1">IF(OR(I$11="", INDIRECT("'Data Murid'!$E" &amp; ROW($E18))=""), "", IF(ISNUMBER(SEARCH(TEXT(I$11,"mm/dd/yyyy"), INDIRECT("'Data Murid'!$E" &amp; ROW($E18)))), "✔", ""))</f>
        <v>#REF!</v>
      </c>
      <c r="J25" s="44" t="e" cm="1">
        <f t="array" aca="1" ref="J25" ca="1">IF(OR(J$11="", INDIRECT("'Data Murid'!$E" &amp; ROW($E18))=""), "", IF(ISNUMBER(SEARCH(TEXT(J$11,"mm/dd/yyyy"), INDIRECT("'Data Murid'!$E" &amp; ROW($E18)))), "✔", ""))</f>
        <v>#REF!</v>
      </c>
      <c r="K25" s="44" t="e" cm="1">
        <f t="array" aca="1" ref="K25" ca="1">IF(OR(K$11="", INDIRECT("'Data Murid'!$E" &amp; ROW($E18))=""), "", IF(ISNUMBER(SEARCH(TEXT(K$11,"mm/dd/yyyy"), INDIRECT("'Data Murid'!$E" &amp; ROW($E18)))), "✔", ""))</f>
        <v>#REF!</v>
      </c>
      <c r="L25" s="44" t="e" cm="1">
        <f t="array" aca="1" ref="L25" ca="1">IF(OR(L$11="", INDIRECT("'Data Murid'!$E" &amp; ROW($E18))=""), "", IF(ISNUMBER(SEARCH(TEXT(L$11,"mm/dd/yyyy"), INDIRECT("'Data Murid'!$E" &amp; ROW($E18)))), "✔", ""))</f>
        <v>#REF!</v>
      </c>
      <c r="M25" s="44" t="e" cm="1">
        <f t="array" aca="1" ref="M25" ca="1">IF(OR(M$11="", INDIRECT("'Data Murid'!$E" &amp; ROW($E18))=""), "", IF(ISNUMBER(SEARCH(TEXT(M$11,"mm/dd/yyyy"), INDIRECT("'Data Murid'!$E" &amp; ROW($E18)))), "✔", ""))</f>
        <v>#REF!</v>
      </c>
      <c r="N25" s="44" t="e" cm="1">
        <f t="array" aca="1" ref="N25" ca="1">IF(OR(N$11="", INDIRECT("'Data Murid'!$E" &amp; ROW($E18))=""), "", IF(ISNUMBER(SEARCH(TEXT(N$11,"mm/dd/yyyy"), INDIRECT("'Data Murid'!$E" &amp; ROW($E18)))), "✔", ""))</f>
        <v>#REF!</v>
      </c>
      <c r="O25" s="44" t="e" cm="1">
        <f t="array" aca="1" ref="O25" ca="1">IF(OR(O$11="", INDIRECT("'Data Murid'!$E" &amp; ROW($E18))=""), "", IF(ISNUMBER(SEARCH(TEXT(O$11,"mm/dd/yyyy"), INDIRECT("'Data Murid'!$E" &amp; ROW($E18)))), "✔", ""))</f>
        <v>#REF!</v>
      </c>
      <c r="P25" s="44" t="e" cm="1">
        <f t="array" aca="1" ref="P25" ca="1">IF(OR(P$11="", INDIRECT("'Data Murid'!$E" &amp; ROW($E18))=""), "", IF(ISNUMBER(SEARCH(TEXT(P$11,"mm/dd/yyyy"), INDIRECT("'Data Murid'!$E" &amp; ROW($E18)))), "✔", ""))</f>
        <v>#REF!</v>
      </c>
      <c r="Q25" s="44" t="e" cm="1">
        <f t="array" aca="1" ref="Q25" ca="1">IF(OR(Q$11="", INDIRECT("'Data Murid'!$E" &amp; ROW($E18))=""), "", IF(ISNUMBER(SEARCH(TEXT(Q$11,"mm/dd/yyyy"), INDIRECT("'Data Murid'!$E" &amp; ROW($E18)))), "✔", ""))</f>
        <v>#REF!</v>
      </c>
      <c r="R25" s="44" t="e" cm="1">
        <f t="array" aca="1" ref="R25" ca="1">IF(OR(R$11="", INDIRECT("'Data Murid'!$E" &amp; ROW($E18))=""), "", IF(ISNUMBER(SEARCH(TEXT(R$11,"mm/dd/yyyy"), INDIRECT("'Data Murid'!$E" &amp; ROW($E18)))), "✔", ""))</f>
        <v>#REF!</v>
      </c>
      <c r="S25" s="44" t="e" cm="1">
        <f t="array" aca="1" ref="S25" ca="1">IF(OR(S$11="", INDIRECT("'Data Murid'!$E" &amp; ROW($E18))=""), "", IF(ISNUMBER(SEARCH(TEXT(S$11,"mm/dd/yyyy"), INDIRECT("'Data Murid'!$E" &amp; ROW($E18)))), "✔", ""))</f>
        <v>#REF!</v>
      </c>
      <c r="T25" s="44" t="e" cm="1">
        <f t="array" aca="1" ref="T25" ca="1">IF(OR(T$11="", INDIRECT("'Data Murid'!$E" &amp; ROW($E18))=""), "", IF(ISNUMBER(SEARCH(TEXT(T$11,"mm/dd/yyyy"), INDIRECT("'Data Murid'!$E" &amp; ROW($E18)))), "✔", ""))</f>
        <v>#REF!</v>
      </c>
      <c r="U25" s="44" t="e" cm="1">
        <f t="array" aca="1" ref="U25" ca="1">IF(OR(U$11="", INDIRECT("'Data Murid'!$E" &amp; ROW($E18))=""), "", IF(ISNUMBER(SEARCH(TEXT(U$11,"mm/dd/yyyy"), INDIRECT("'Data Murid'!$E" &amp; ROW($E18)))), "✔", ""))</f>
        <v>#REF!</v>
      </c>
      <c r="V25" s="44" t="e" cm="1">
        <f t="array" aca="1" ref="V25" ca="1">IF(OR(V$11="", INDIRECT("'Data Murid'!$E" &amp; ROW($E18))=""), "", IF(ISNUMBER(SEARCH(TEXT(V$11,"mm/dd/yyyy"), INDIRECT("'Data Murid'!$E" &amp; ROW($E18)))), "✔", ""))</f>
        <v>#REF!</v>
      </c>
      <c r="W25" s="44" t="e" cm="1">
        <f t="array" aca="1" ref="W25" ca="1">IF(OR(W$11="", INDIRECT("'Data Murid'!$E" &amp; ROW($E18))=""), "", IF(ISNUMBER(SEARCH(TEXT(W$11,"mm/dd/yyyy"), INDIRECT("'Data Murid'!$E" &amp; ROW($E18)))), "✔", ""))</f>
        <v>#REF!</v>
      </c>
      <c r="X25" s="44" t="e" cm="1">
        <f t="array" aca="1" ref="X25" ca="1">IF(OR(X$11="", INDIRECT("'Data Murid'!$E" &amp; ROW($E18))=""), "", IF(ISNUMBER(SEARCH(TEXT(X$11,"mm/dd/yyyy"), INDIRECT("'Data Murid'!$E" &amp; ROW($E18)))), "✔", ""))</f>
        <v>#REF!</v>
      </c>
      <c r="Y25" s="44" t="e" cm="1">
        <f t="array" aca="1" ref="Y25" ca="1">IF(OR(Y$11="", INDIRECT("'Data Murid'!$E" &amp; ROW($E18))=""), "", IF(ISNUMBER(SEARCH(TEXT(Y$11,"mm/dd/yyyy"), INDIRECT("'Data Murid'!$E" &amp; ROW($E18)))), "✔", ""))</f>
        <v>#REF!</v>
      </c>
      <c r="Z25" s="44" t="e" cm="1">
        <f t="array" aca="1" ref="Z25" ca="1">IF(OR(Z$11="", INDIRECT("'Data Murid'!$E" &amp; ROW($E18))=""), "", IF(ISNUMBER(SEARCH(TEXT(Z$11,"mm/dd/yyyy"), INDIRECT("'Data Murid'!$E" &amp; ROW($E18)))), "✔", ""))</f>
        <v>#REF!</v>
      </c>
      <c r="AA25" s="44" t="e" cm="1">
        <f t="array" aca="1" ref="AA25" ca="1">IF(OR(AA$11="", INDIRECT("'Data Murid'!$E" &amp; ROW($E18))=""), "", IF(ISNUMBER(SEARCH(TEXT(AA$11,"mm/dd/yyyy"), INDIRECT("'Data Murid'!$E" &amp; ROW($E18)))), "✔", ""))</f>
        <v>#REF!</v>
      </c>
      <c r="AB25" s="44" t="e" cm="1">
        <f t="array" aca="1" ref="AB25" ca="1">IF(OR(AB$11="", INDIRECT("'Data Murid'!$E" &amp; ROW($E18))=""), "", IF(ISNUMBER(SEARCH(TEXT(AB$11,"mm/dd/yyyy"), INDIRECT("'Data Murid'!$E" &amp; ROW($E18)))), "✔", ""))</f>
        <v>#REF!</v>
      </c>
      <c r="AC25" s="44" t="e" cm="1">
        <f t="array" aca="1" ref="AC25" ca="1">IF(OR(AC$11="", INDIRECT("'Data Murid'!$E" &amp; ROW($E18))=""), "", IF(ISNUMBER(SEARCH(TEXT(AC$11,"mm/dd/yyyy"), INDIRECT("'Data Murid'!$E" &amp; ROW($E18)))), "✔", ""))</f>
        <v>#REF!</v>
      </c>
      <c r="AD25" s="44" t="e" cm="1">
        <f t="array" aca="1" ref="AD25" ca="1">IF(OR(AD$11="", INDIRECT("'Data Murid'!$E" &amp; ROW($E18))=""), "", IF(ISNUMBER(SEARCH(TEXT(AD$11,"mm/dd/yyyy"), INDIRECT("'Data Murid'!$E" &amp; ROW($E18)))), "✔", ""))</f>
        <v>#REF!</v>
      </c>
      <c r="AE25" s="44" t="e" cm="1">
        <f t="array" aca="1" ref="AE25" ca="1">IF(OR(AE$11="", INDIRECT("'Data Murid'!$E" &amp; ROW($E18))=""), "", IF(ISNUMBER(SEARCH(TEXT(AE$11,"mm/dd/yyyy"), INDIRECT("'Data Murid'!$E" &amp; ROW($E18)))), "✔", ""))</f>
        <v>#REF!</v>
      </c>
      <c r="AF25" s="44" t="e" cm="1">
        <f t="array" aca="1" ref="AF25" ca="1">IF(OR(AF$11="", INDIRECT("'Data Murid'!$E" &amp; ROW($E18))=""), "", IF(ISNUMBER(SEARCH(TEXT(AF$11,"mm/dd/yyyy"), INDIRECT("'Data Murid'!$E" &amp; ROW($E18)))), "✔", ""))</f>
        <v>#REF!</v>
      </c>
      <c r="AG25" s="44" t="e" cm="1">
        <f t="array" aca="1" ref="AG25" ca="1">IF(OR(AG$11="", INDIRECT("'Data Murid'!$E" &amp; ROW($E18))=""), "", IF(ISNUMBER(SEARCH(TEXT(AG$11,"mm/dd/yyyy"), INDIRECT("'Data Murid'!$E" &amp; ROW($E18)))), "✔", ""))</f>
        <v>#REF!</v>
      </c>
      <c r="AH25" s="44" t="e" cm="1">
        <f t="array" aca="1" ref="AH25" ca="1">IF(OR(AH$11="", INDIRECT("'Data Murid'!$E" &amp; ROW($E18))=""), "", IF(ISNUMBER(SEARCH(TEXT(AH$11,"mm/dd/yyyy"), INDIRECT("'Data Murid'!$E" &amp; ROW($E18)))), "✔", ""))</f>
        <v>#REF!</v>
      </c>
      <c r="AI25" s="44" t="e" cm="1">
        <f t="array" aca="1" ref="AI25" ca="1">IF(OR(AI$11="", INDIRECT("'Data Murid'!$E" &amp; ROW($E18))=""), "", IF(ISNUMBER(SEARCH(TEXT(AI$11,"mm/dd/yyyy"), INDIRECT("'Data Murid'!$E" &amp; ROW($E18)))), "✔", ""))</f>
        <v>#REF!</v>
      </c>
      <c r="AJ25" s="40">
        <f t="shared" ca="1" si="2"/>
        <v>0</v>
      </c>
    </row>
    <row r="26" spans="1:39" ht="14.25" customHeight="1" x14ac:dyDescent="0.25">
      <c r="A26" s="27">
        <v>12</v>
      </c>
      <c r="B26" s="25" t="e">
        <f ca="1">'rekap absensi seluruhnya'!B31</f>
        <v>#REF!</v>
      </c>
      <c r="C26" s="52" t="e">
        <f ca="1">'rekap absensi seluruhnya'!C31</f>
        <v>#REF!</v>
      </c>
      <c r="D26" s="25" t="e">
        <f ca="1">'rekap absensi seluruhnya'!D31</f>
        <v>#REF!</v>
      </c>
      <c r="E26" s="44" t="e" cm="1">
        <f t="array" aca="1" ref="E26" ca="1">IF(OR(E$11="", INDIRECT("'Data Murid'!$E" &amp; ROW($E19))=""), "", IF(ISNUMBER(SEARCH(TEXT(E$11,"mm/dd/yyyy"), INDIRECT("'Data Murid'!$E" &amp; ROW($E19)))), "✔", ""))</f>
        <v>#REF!</v>
      </c>
      <c r="F26" s="44" t="e" cm="1">
        <f t="array" aca="1" ref="F26" ca="1">IF(OR(F$11="", INDIRECT("'Data Murid'!$E" &amp; ROW($E19))=""), "", IF(ISNUMBER(SEARCH(TEXT(F$11,"mm/dd/yyyy"), INDIRECT("'Data Murid'!$E" &amp; ROW($E19)))), "✔", ""))</f>
        <v>#REF!</v>
      </c>
      <c r="G26" s="44" t="e" cm="1">
        <f t="array" aca="1" ref="G26" ca="1">IF(OR(G$11="", INDIRECT("'Data Murid'!$E" &amp; ROW($E19))=""), "", IF(ISNUMBER(SEARCH(TEXT(G$11,"mm/dd/yyyy"), INDIRECT("'Data Murid'!$E" &amp; ROW($E19)))), "✔", ""))</f>
        <v>#REF!</v>
      </c>
      <c r="H26" s="44" t="e" cm="1">
        <f t="array" aca="1" ref="H26" ca="1">IF(OR(H$11="", INDIRECT("'Data Murid'!$E" &amp; ROW($E19))=""), "", IF(ISNUMBER(SEARCH(TEXT(H$11,"mm/dd/yyyy"), INDIRECT("'Data Murid'!$E" &amp; ROW($E19)))), "✔", ""))</f>
        <v>#REF!</v>
      </c>
      <c r="I26" s="44" t="e" cm="1">
        <f t="array" aca="1" ref="I26" ca="1">IF(OR(I$11="", INDIRECT("'Data Murid'!$E" &amp; ROW($E19))=""), "", IF(ISNUMBER(SEARCH(TEXT(I$11,"mm/dd/yyyy"), INDIRECT("'Data Murid'!$E" &amp; ROW($E19)))), "✔", ""))</f>
        <v>#REF!</v>
      </c>
      <c r="J26" s="44" t="e" cm="1">
        <f t="array" aca="1" ref="J26" ca="1">IF(OR(J$11="", INDIRECT("'Data Murid'!$E" &amp; ROW($E19))=""), "", IF(ISNUMBER(SEARCH(TEXT(J$11,"mm/dd/yyyy"), INDIRECT("'Data Murid'!$E" &amp; ROW($E19)))), "✔", ""))</f>
        <v>#REF!</v>
      </c>
      <c r="K26" s="44" t="e" cm="1">
        <f t="array" aca="1" ref="K26" ca="1">IF(OR(K$11="", INDIRECT("'Data Murid'!$E" &amp; ROW($E19))=""), "", IF(ISNUMBER(SEARCH(TEXT(K$11,"mm/dd/yyyy"), INDIRECT("'Data Murid'!$E" &amp; ROW($E19)))), "✔", ""))</f>
        <v>#REF!</v>
      </c>
      <c r="L26" s="44" t="e" cm="1">
        <f t="array" aca="1" ref="L26" ca="1">IF(OR(L$11="", INDIRECT("'Data Murid'!$E" &amp; ROW($E19))=""), "", IF(ISNUMBER(SEARCH(TEXT(L$11,"mm/dd/yyyy"), INDIRECT("'Data Murid'!$E" &amp; ROW($E19)))), "✔", ""))</f>
        <v>#REF!</v>
      </c>
      <c r="M26" s="44" t="e" cm="1">
        <f t="array" aca="1" ref="M26" ca="1">IF(OR(M$11="", INDIRECT("'Data Murid'!$E" &amp; ROW($E19))=""), "", IF(ISNUMBER(SEARCH(TEXT(M$11,"mm/dd/yyyy"), INDIRECT("'Data Murid'!$E" &amp; ROW($E19)))), "✔", ""))</f>
        <v>#REF!</v>
      </c>
      <c r="N26" s="44" t="e" cm="1">
        <f t="array" aca="1" ref="N26" ca="1">IF(OR(N$11="", INDIRECT("'Data Murid'!$E" &amp; ROW($E19))=""), "", IF(ISNUMBER(SEARCH(TEXT(N$11,"mm/dd/yyyy"), INDIRECT("'Data Murid'!$E" &amp; ROW($E19)))), "✔", ""))</f>
        <v>#REF!</v>
      </c>
      <c r="O26" s="44" t="e" cm="1">
        <f t="array" aca="1" ref="O26" ca="1">IF(OR(O$11="", INDIRECT("'Data Murid'!$E" &amp; ROW($E19))=""), "", IF(ISNUMBER(SEARCH(TEXT(O$11,"mm/dd/yyyy"), INDIRECT("'Data Murid'!$E" &amp; ROW($E19)))), "✔", ""))</f>
        <v>#REF!</v>
      </c>
      <c r="P26" s="44" t="e" cm="1">
        <f t="array" aca="1" ref="P26" ca="1">IF(OR(P$11="", INDIRECT("'Data Murid'!$E" &amp; ROW($E19))=""), "", IF(ISNUMBER(SEARCH(TEXT(P$11,"mm/dd/yyyy"), INDIRECT("'Data Murid'!$E" &amp; ROW($E19)))), "✔", ""))</f>
        <v>#REF!</v>
      </c>
      <c r="Q26" s="44" t="e" cm="1">
        <f t="array" aca="1" ref="Q26" ca="1">IF(OR(Q$11="", INDIRECT("'Data Murid'!$E" &amp; ROW($E19))=""), "", IF(ISNUMBER(SEARCH(TEXT(Q$11,"mm/dd/yyyy"), INDIRECT("'Data Murid'!$E" &amp; ROW($E19)))), "✔", ""))</f>
        <v>#REF!</v>
      </c>
      <c r="R26" s="44" t="e" cm="1">
        <f t="array" aca="1" ref="R26" ca="1">IF(OR(R$11="", INDIRECT("'Data Murid'!$E" &amp; ROW($E19))=""), "", IF(ISNUMBER(SEARCH(TEXT(R$11,"mm/dd/yyyy"), INDIRECT("'Data Murid'!$E" &amp; ROW($E19)))), "✔", ""))</f>
        <v>#REF!</v>
      </c>
      <c r="S26" s="44" t="e" cm="1">
        <f t="array" aca="1" ref="S26" ca="1">IF(OR(S$11="", INDIRECT("'Data Murid'!$E" &amp; ROW($E19))=""), "", IF(ISNUMBER(SEARCH(TEXT(S$11,"mm/dd/yyyy"), INDIRECT("'Data Murid'!$E" &amp; ROW($E19)))), "✔", ""))</f>
        <v>#REF!</v>
      </c>
      <c r="T26" s="44" t="e" cm="1">
        <f t="array" aca="1" ref="T26" ca="1">IF(OR(T$11="", INDIRECT("'Data Murid'!$E" &amp; ROW($E19))=""), "", IF(ISNUMBER(SEARCH(TEXT(T$11,"mm/dd/yyyy"), INDIRECT("'Data Murid'!$E" &amp; ROW($E19)))), "✔", ""))</f>
        <v>#REF!</v>
      </c>
      <c r="U26" s="44" t="e" cm="1">
        <f t="array" aca="1" ref="U26" ca="1">IF(OR(U$11="", INDIRECT("'Data Murid'!$E" &amp; ROW($E19))=""), "", IF(ISNUMBER(SEARCH(TEXT(U$11,"mm/dd/yyyy"), INDIRECT("'Data Murid'!$E" &amp; ROW($E19)))), "✔", ""))</f>
        <v>#REF!</v>
      </c>
      <c r="V26" s="44" t="e" cm="1">
        <f t="array" aca="1" ref="V26" ca="1">IF(OR(V$11="", INDIRECT("'Data Murid'!$E" &amp; ROW($E19))=""), "", IF(ISNUMBER(SEARCH(TEXT(V$11,"mm/dd/yyyy"), INDIRECT("'Data Murid'!$E" &amp; ROW($E19)))), "✔", ""))</f>
        <v>#REF!</v>
      </c>
      <c r="W26" s="44" t="e" cm="1">
        <f t="array" aca="1" ref="W26" ca="1">IF(OR(W$11="", INDIRECT("'Data Murid'!$E" &amp; ROW($E19))=""), "", IF(ISNUMBER(SEARCH(TEXT(W$11,"mm/dd/yyyy"), INDIRECT("'Data Murid'!$E" &amp; ROW($E19)))), "✔", ""))</f>
        <v>#REF!</v>
      </c>
      <c r="X26" s="44" t="e" cm="1">
        <f t="array" aca="1" ref="X26" ca="1">IF(OR(X$11="", INDIRECT("'Data Murid'!$E" &amp; ROW($E19))=""), "", IF(ISNUMBER(SEARCH(TEXT(X$11,"mm/dd/yyyy"), INDIRECT("'Data Murid'!$E" &amp; ROW($E19)))), "✔", ""))</f>
        <v>#REF!</v>
      </c>
      <c r="Y26" s="44" t="e" cm="1">
        <f t="array" aca="1" ref="Y26" ca="1">IF(OR(Y$11="", INDIRECT("'Data Murid'!$E" &amp; ROW($E19))=""), "", IF(ISNUMBER(SEARCH(TEXT(Y$11,"mm/dd/yyyy"), INDIRECT("'Data Murid'!$E" &amp; ROW($E19)))), "✔", ""))</f>
        <v>#REF!</v>
      </c>
      <c r="Z26" s="44" t="e" cm="1">
        <f t="array" aca="1" ref="Z26" ca="1">IF(OR(Z$11="", INDIRECT("'Data Murid'!$E" &amp; ROW($E19))=""), "", IF(ISNUMBER(SEARCH(TEXT(Z$11,"mm/dd/yyyy"), INDIRECT("'Data Murid'!$E" &amp; ROW($E19)))), "✔", ""))</f>
        <v>#REF!</v>
      </c>
      <c r="AA26" s="44" t="e" cm="1">
        <f t="array" aca="1" ref="AA26" ca="1">IF(OR(AA$11="", INDIRECT("'Data Murid'!$E" &amp; ROW($E19))=""), "", IF(ISNUMBER(SEARCH(TEXT(AA$11,"mm/dd/yyyy"), INDIRECT("'Data Murid'!$E" &amp; ROW($E19)))), "✔", ""))</f>
        <v>#REF!</v>
      </c>
      <c r="AB26" s="44" t="e" cm="1">
        <f t="array" aca="1" ref="AB26" ca="1">IF(OR(AB$11="", INDIRECT("'Data Murid'!$E" &amp; ROW($E19))=""), "", IF(ISNUMBER(SEARCH(TEXT(AB$11,"mm/dd/yyyy"), INDIRECT("'Data Murid'!$E" &amp; ROW($E19)))), "✔", ""))</f>
        <v>#REF!</v>
      </c>
      <c r="AC26" s="44" t="e" cm="1">
        <f t="array" aca="1" ref="AC26" ca="1">IF(OR(AC$11="", INDIRECT("'Data Murid'!$E" &amp; ROW($E19))=""), "", IF(ISNUMBER(SEARCH(TEXT(AC$11,"mm/dd/yyyy"), INDIRECT("'Data Murid'!$E" &amp; ROW($E19)))), "✔", ""))</f>
        <v>#REF!</v>
      </c>
      <c r="AD26" s="44" t="e" cm="1">
        <f t="array" aca="1" ref="AD26" ca="1">IF(OR(AD$11="", INDIRECT("'Data Murid'!$E" &amp; ROW($E19))=""), "", IF(ISNUMBER(SEARCH(TEXT(AD$11,"mm/dd/yyyy"), INDIRECT("'Data Murid'!$E" &amp; ROW($E19)))), "✔", ""))</f>
        <v>#REF!</v>
      </c>
      <c r="AE26" s="44" t="e" cm="1">
        <f t="array" aca="1" ref="AE26" ca="1">IF(OR(AE$11="", INDIRECT("'Data Murid'!$E" &amp; ROW($E19))=""), "", IF(ISNUMBER(SEARCH(TEXT(AE$11,"mm/dd/yyyy"), INDIRECT("'Data Murid'!$E" &amp; ROW($E19)))), "✔", ""))</f>
        <v>#REF!</v>
      </c>
      <c r="AF26" s="44" t="e" cm="1">
        <f t="array" aca="1" ref="AF26" ca="1">IF(OR(AF$11="", INDIRECT("'Data Murid'!$E" &amp; ROW($E19))=""), "", IF(ISNUMBER(SEARCH(TEXT(AF$11,"mm/dd/yyyy"), INDIRECT("'Data Murid'!$E" &amp; ROW($E19)))), "✔", ""))</f>
        <v>#REF!</v>
      </c>
      <c r="AG26" s="44" t="e" cm="1">
        <f t="array" aca="1" ref="AG26" ca="1">IF(OR(AG$11="", INDIRECT("'Data Murid'!$E" &amp; ROW($E19))=""), "", IF(ISNUMBER(SEARCH(TEXT(AG$11,"mm/dd/yyyy"), INDIRECT("'Data Murid'!$E" &amp; ROW($E19)))), "✔", ""))</f>
        <v>#REF!</v>
      </c>
      <c r="AH26" s="44" t="e" cm="1">
        <f t="array" aca="1" ref="AH26" ca="1">IF(OR(AH$11="", INDIRECT("'Data Murid'!$E" &amp; ROW($E19))=""), "", IF(ISNUMBER(SEARCH(TEXT(AH$11,"mm/dd/yyyy"), INDIRECT("'Data Murid'!$E" &amp; ROW($E19)))), "✔", ""))</f>
        <v>#REF!</v>
      </c>
      <c r="AI26" s="44" t="e" cm="1">
        <f t="array" aca="1" ref="AI26" ca="1">IF(OR(AI$11="", INDIRECT("'Data Murid'!$E" &amp; ROW($E19))=""), "", IF(ISNUMBER(SEARCH(TEXT(AI$11,"mm/dd/yyyy"), INDIRECT("'Data Murid'!$E" &amp; ROW($E19)))), "✔", ""))</f>
        <v>#REF!</v>
      </c>
      <c r="AJ26" s="40">
        <f t="shared" ca="1" si="2"/>
        <v>0</v>
      </c>
    </row>
    <row r="27" spans="1:39" ht="14.25" customHeight="1" x14ac:dyDescent="0.25">
      <c r="A27" s="27">
        <v>13</v>
      </c>
      <c r="B27" s="25" t="e">
        <f ca="1">'rekap absensi seluruhnya'!B32</f>
        <v>#REF!</v>
      </c>
      <c r="C27" s="52" t="e">
        <f ca="1">'rekap absensi seluruhnya'!C32</f>
        <v>#REF!</v>
      </c>
      <c r="D27" s="25" t="e">
        <f ca="1">'rekap absensi seluruhnya'!D32</f>
        <v>#REF!</v>
      </c>
      <c r="E27" s="44" t="e" cm="1">
        <f t="array" aca="1" ref="E27" ca="1">IF(OR(E$11="", INDIRECT("'Data Murid'!$E" &amp; ROW($E20))=""), "", IF(ISNUMBER(SEARCH(TEXT(E$11,"mm/dd/yyyy"), INDIRECT("'Data Murid'!$E" &amp; ROW($E20)))), "✔", ""))</f>
        <v>#REF!</v>
      </c>
      <c r="F27" s="44" t="e" cm="1">
        <f t="array" aca="1" ref="F27" ca="1">IF(OR(F$11="", INDIRECT("'Data Murid'!$E" &amp; ROW($E20))=""), "", IF(ISNUMBER(SEARCH(TEXT(F$11,"mm/dd/yyyy"), INDIRECT("'Data Murid'!$E" &amp; ROW($E20)))), "✔", ""))</f>
        <v>#REF!</v>
      </c>
      <c r="G27" s="44" t="e" cm="1">
        <f t="array" aca="1" ref="G27" ca="1">IF(OR(G$11="", INDIRECT("'Data Murid'!$E" &amp; ROW($E20))=""), "", IF(ISNUMBER(SEARCH(TEXT(G$11,"mm/dd/yyyy"), INDIRECT("'Data Murid'!$E" &amp; ROW($E20)))), "✔", ""))</f>
        <v>#REF!</v>
      </c>
      <c r="H27" s="44" t="e" cm="1">
        <f t="array" aca="1" ref="H27" ca="1">IF(OR(H$11="", INDIRECT("'Data Murid'!$E" &amp; ROW($E20))=""), "", IF(ISNUMBER(SEARCH(TEXT(H$11,"mm/dd/yyyy"), INDIRECT("'Data Murid'!$E" &amp; ROW($E20)))), "✔", ""))</f>
        <v>#REF!</v>
      </c>
      <c r="I27" s="44" t="e" cm="1">
        <f t="array" aca="1" ref="I27" ca="1">IF(OR(I$11="", INDIRECT("'Data Murid'!$E" &amp; ROW($E20))=""), "", IF(ISNUMBER(SEARCH(TEXT(I$11,"mm/dd/yyyy"), INDIRECT("'Data Murid'!$E" &amp; ROW($E20)))), "✔", ""))</f>
        <v>#REF!</v>
      </c>
      <c r="J27" s="44" t="e" cm="1">
        <f t="array" aca="1" ref="J27" ca="1">IF(OR(J$11="", INDIRECT("'Data Murid'!$E" &amp; ROW($E20))=""), "", IF(ISNUMBER(SEARCH(TEXT(J$11,"mm/dd/yyyy"), INDIRECT("'Data Murid'!$E" &amp; ROW($E20)))), "✔", ""))</f>
        <v>#REF!</v>
      </c>
      <c r="K27" s="44" t="e" cm="1">
        <f t="array" aca="1" ref="K27" ca="1">IF(OR(K$11="", INDIRECT("'Data Murid'!$E" &amp; ROW($E20))=""), "", IF(ISNUMBER(SEARCH(TEXT(K$11,"mm/dd/yyyy"), INDIRECT("'Data Murid'!$E" &amp; ROW($E20)))), "✔", ""))</f>
        <v>#REF!</v>
      </c>
      <c r="L27" s="44" t="e" cm="1">
        <f t="array" aca="1" ref="L27" ca="1">IF(OR(L$11="", INDIRECT("'Data Murid'!$E" &amp; ROW($E20))=""), "", IF(ISNUMBER(SEARCH(TEXT(L$11,"mm/dd/yyyy"), INDIRECT("'Data Murid'!$E" &amp; ROW($E20)))), "✔", ""))</f>
        <v>#REF!</v>
      </c>
      <c r="M27" s="44" t="e" cm="1">
        <f t="array" aca="1" ref="M27" ca="1">IF(OR(M$11="", INDIRECT("'Data Murid'!$E" &amp; ROW($E20))=""), "", IF(ISNUMBER(SEARCH(TEXT(M$11,"mm/dd/yyyy"), INDIRECT("'Data Murid'!$E" &amp; ROW($E20)))), "✔", ""))</f>
        <v>#REF!</v>
      </c>
      <c r="N27" s="44" t="e" cm="1">
        <f t="array" aca="1" ref="N27" ca="1">IF(OR(N$11="", INDIRECT("'Data Murid'!$E" &amp; ROW($E20))=""), "", IF(ISNUMBER(SEARCH(TEXT(N$11,"mm/dd/yyyy"), INDIRECT("'Data Murid'!$E" &amp; ROW($E20)))), "✔", ""))</f>
        <v>#REF!</v>
      </c>
      <c r="O27" s="44" t="e" cm="1">
        <f t="array" aca="1" ref="O27" ca="1">IF(OR(O$11="", INDIRECT("'Data Murid'!$E" &amp; ROW($E20))=""), "", IF(ISNUMBER(SEARCH(TEXT(O$11,"mm/dd/yyyy"), INDIRECT("'Data Murid'!$E" &amp; ROW($E20)))), "✔", ""))</f>
        <v>#REF!</v>
      </c>
      <c r="P27" s="44" t="e" cm="1">
        <f t="array" aca="1" ref="P27" ca="1">IF(OR(P$11="", INDIRECT("'Data Murid'!$E" &amp; ROW($E20))=""), "", IF(ISNUMBER(SEARCH(TEXT(P$11,"mm/dd/yyyy"), INDIRECT("'Data Murid'!$E" &amp; ROW($E20)))), "✔", ""))</f>
        <v>#REF!</v>
      </c>
      <c r="Q27" s="44" t="e" cm="1">
        <f t="array" aca="1" ref="Q27" ca="1">IF(OR(Q$11="", INDIRECT("'Data Murid'!$E" &amp; ROW($E20))=""), "", IF(ISNUMBER(SEARCH(TEXT(Q$11,"mm/dd/yyyy"), INDIRECT("'Data Murid'!$E" &amp; ROW($E20)))), "✔", ""))</f>
        <v>#REF!</v>
      </c>
      <c r="R27" s="44" t="e" cm="1">
        <f t="array" aca="1" ref="R27" ca="1">IF(OR(R$11="", INDIRECT("'Data Murid'!$E" &amp; ROW($E20))=""), "", IF(ISNUMBER(SEARCH(TEXT(R$11,"mm/dd/yyyy"), INDIRECT("'Data Murid'!$E" &amp; ROW($E20)))), "✔", ""))</f>
        <v>#REF!</v>
      </c>
      <c r="S27" s="44" t="e" cm="1">
        <f t="array" aca="1" ref="S27" ca="1">IF(OR(S$11="", INDIRECT("'Data Murid'!$E" &amp; ROW($E20))=""), "", IF(ISNUMBER(SEARCH(TEXT(S$11,"mm/dd/yyyy"), INDIRECT("'Data Murid'!$E" &amp; ROW($E20)))), "✔", ""))</f>
        <v>#REF!</v>
      </c>
      <c r="T27" s="44" t="e" cm="1">
        <f t="array" aca="1" ref="T27" ca="1">IF(OR(T$11="", INDIRECT("'Data Murid'!$E" &amp; ROW($E20))=""), "", IF(ISNUMBER(SEARCH(TEXT(T$11,"mm/dd/yyyy"), INDIRECT("'Data Murid'!$E" &amp; ROW($E20)))), "✔", ""))</f>
        <v>#REF!</v>
      </c>
      <c r="U27" s="44" t="e" cm="1">
        <f t="array" aca="1" ref="U27" ca="1">IF(OR(U$11="", INDIRECT("'Data Murid'!$E" &amp; ROW($E20))=""), "", IF(ISNUMBER(SEARCH(TEXT(U$11,"mm/dd/yyyy"), INDIRECT("'Data Murid'!$E" &amp; ROW($E20)))), "✔", ""))</f>
        <v>#REF!</v>
      </c>
      <c r="V27" s="44" t="e" cm="1">
        <f t="array" aca="1" ref="V27" ca="1">IF(OR(V$11="", INDIRECT("'Data Murid'!$E" &amp; ROW($E20))=""), "", IF(ISNUMBER(SEARCH(TEXT(V$11,"mm/dd/yyyy"), INDIRECT("'Data Murid'!$E" &amp; ROW($E20)))), "✔", ""))</f>
        <v>#REF!</v>
      </c>
      <c r="W27" s="44" t="e" cm="1">
        <f t="array" aca="1" ref="W27" ca="1">IF(OR(W$11="", INDIRECT("'Data Murid'!$E" &amp; ROW($E20))=""), "", IF(ISNUMBER(SEARCH(TEXT(W$11,"mm/dd/yyyy"), INDIRECT("'Data Murid'!$E" &amp; ROW($E20)))), "✔", ""))</f>
        <v>#REF!</v>
      </c>
      <c r="X27" s="44" t="e" cm="1">
        <f t="array" aca="1" ref="X27" ca="1">IF(OR(X$11="", INDIRECT("'Data Murid'!$E" &amp; ROW($E20))=""), "", IF(ISNUMBER(SEARCH(TEXT(X$11,"mm/dd/yyyy"), INDIRECT("'Data Murid'!$E" &amp; ROW($E20)))), "✔", ""))</f>
        <v>#REF!</v>
      </c>
      <c r="Y27" s="44" t="e" cm="1">
        <f t="array" aca="1" ref="Y27" ca="1">IF(OR(Y$11="", INDIRECT("'Data Murid'!$E" &amp; ROW($E20))=""), "", IF(ISNUMBER(SEARCH(TEXT(Y$11,"mm/dd/yyyy"), INDIRECT("'Data Murid'!$E" &amp; ROW($E20)))), "✔", ""))</f>
        <v>#REF!</v>
      </c>
      <c r="Z27" s="44" t="e" cm="1">
        <f t="array" aca="1" ref="Z27" ca="1">IF(OR(Z$11="", INDIRECT("'Data Murid'!$E" &amp; ROW($E20))=""), "", IF(ISNUMBER(SEARCH(TEXT(Z$11,"mm/dd/yyyy"), INDIRECT("'Data Murid'!$E" &amp; ROW($E20)))), "✔", ""))</f>
        <v>#REF!</v>
      </c>
      <c r="AA27" s="44" t="e" cm="1">
        <f t="array" aca="1" ref="AA27" ca="1">IF(OR(AA$11="", INDIRECT("'Data Murid'!$E" &amp; ROW($E20))=""), "", IF(ISNUMBER(SEARCH(TEXT(AA$11,"mm/dd/yyyy"), INDIRECT("'Data Murid'!$E" &amp; ROW($E20)))), "✔", ""))</f>
        <v>#REF!</v>
      </c>
      <c r="AB27" s="44" t="e" cm="1">
        <f t="array" aca="1" ref="AB27" ca="1">IF(OR(AB$11="", INDIRECT("'Data Murid'!$E" &amp; ROW($E20))=""), "", IF(ISNUMBER(SEARCH(TEXT(AB$11,"mm/dd/yyyy"), INDIRECT("'Data Murid'!$E" &amp; ROW($E20)))), "✔", ""))</f>
        <v>#REF!</v>
      </c>
      <c r="AC27" s="44" t="e" cm="1">
        <f t="array" aca="1" ref="AC27" ca="1">IF(OR(AC$11="", INDIRECT("'Data Murid'!$E" &amp; ROW($E20))=""), "", IF(ISNUMBER(SEARCH(TEXT(AC$11,"mm/dd/yyyy"), INDIRECT("'Data Murid'!$E" &amp; ROW($E20)))), "✔", ""))</f>
        <v>#REF!</v>
      </c>
      <c r="AD27" s="44" t="e" cm="1">
        <f t="array" aca="1" ref="AD27" ca="1">IF(OR(AD$11="", INDIRECT("'Data Murid'!$E" &amp; ROW($E20))=""), "", IF(ISNUMBER(SEARCH(TEXT(AD$11,"mm/dd/yyyy"), INDIRECT("'Data Murid'!$E" &amp; ROW($E20)))), "✔", ""))</f>
        <v>#REF!</v>
      </c>
      <c r="AE27" s="44" t="e" cm="1">
        <f t="array" aca="1" ref="AE27" ca="1">IF(OR(AE$11="", INDIRECT("'Data Murid'!$E" &amp; ROW($E20))=""), "", IF(ISNUMBER(SEARCH(TEXT(AE$11,"mm/dd/yyyy"), INDIRECT("'Data Murid'!$E" &amp; ROW($E20)))), "✔", ""))</f>
        <v>#REF!</v>
      </c>
      <c r="AF27" s="44" t="e" cm="1">
        <f t="array" aca="1" ref="AF27" ca="1">IF(OR(AF$11="", INDIRECT("'Data Murid'!$E" &amp; ROW($E20))=""), "", IF(ISNUMBER(SEARCH(TEXT(AF$11,"mm/dd/yyyy"), INDIRECT("'Data Murid'!$E" &amp; ROW($E20)))), "✔", ""))</f>
        <v>#REF!</v>
      </c>
      <c r="AG27" s="44" t="e" cm="1">
        <f t="array" aca="1" ref="AG27" ca="1">IF(OR(AG$11="", INDIRECT("'Data Murid'!$E" &amp; ROW($E20))=""), "", IF(ISNUMBER(SEARCH(TEXT(AG$11,"mm/dd/yyyy"), INDIRECT("'Data Murid'!$E" &amp; ROW($E20)))), "✔", ""))</f>
        <v>#REF!</v>
      </c>
      <c r="AH27" s="44" t="e" cm="1">
        <f t="array" aca="1" ref="AH27" ca="1">IF(OR(AH$11="", INDIRECT("'Data Murid'!$E" &amp; ROW($E20))=""), "", IF(ISNUMBER(SEARCH(TEXT(AH$11,"mm/dd/yyyy"), INDIRECT("'Data Murid'!$E" &amp; ROW($E20)))), "✔", ""))</f>
        <v>#REF!</v>
      </c>
      <c r="AI27" s="44" t="e" cm="1">
        <f t="array" aca="1" ref="AI27" ca="1">IF(OR(AI$11="", INDIRECT("'Data Murid'!$E" &amp; ROW($E20))=""), "", IF(ISNUMBER(SEARCH(TEXT(AI$11,"mm/dd/yyyy"), INDIRECT("'Data Murid'!$E" &amp; ROW($E20)))), "✔", ""))</f>
        <v>#REF!</v>
      </c>
      <c r="AJ27" s="40">
        <f t="shared" ca="1" si="2"/>
        <v>0</v>
      </c>
    </row>
    <row r="28" spans="1:39" ht="14.25" customHeight="1" x14ac:dyDescent="0.25">
      <c r="A28" s="27">
        <v>14</v>
      </c>
      <c r="B28" s="25" t="e">
        <f ca="1">'rekap absensi seluruhnya'!B33</f>
        <v>#REF!</v>
      </c>
      <c r="C28" s="52" t="e">
        <f ca="1">'rekap absensi seluruhnya'!C33</f>
        <v>#REF!</v>
      </c>
      <c r="D28" s="25" t="e">
        <f ca="1">'rekap absensi seluruhnya'!D33</f>
        <v>#REF!</v>
      </c>
      <c r="E28" s="44" t="e" cm="1">
        <f t="array" aca="1" ref="E28" ca="1">IF(OR(E$11="", INDIRECT("'Data Murid'!$E" &amp; ROW($E21))=""), "", IF(ISNUMBER(SEARCH(TEXT(E$11,"mm/dd/yyyy"), INDIRECT("'Data Murid'!$E" &amp; ROW($E21)))), "✔", ""))</f>
        <v>#REF!</v>
      </c>
      <c r="F28" s="44" t="e" cm="1">
        <f t="array" aca="1" ref="F28" ca="1">IF(OR(F$11="", INDIRECT("'Data Murid'!$E" &amp; ROW($E21))=""), "", IF(ISNUMBER(SEARCH(TEXT(F$11,"mm/dd/yyyy"), INDIRECT("'Data Murid'!$E" &amp; ROW($E21)))), "✔", ""))</f>
        <v>#REF!</v>
      </c>
      <c r="G28" s="44" t="e" cm="1">
        <f t="array" aca="1" ref="G28" ca="1">IF(OR(G$11="", INDIRECT("'Data Murid'!$E" &amp; ROW($E21))=""), "", IF(ISNUMBER(SEARCH(TEXT(G$11,"mm/dd/yyyy"), INDIRECT("'Data Murid'!$E" &amp; ROW($E21)))), "✔", ""))</f>
        <v>#REF!</v>
      </c>
      <c r="H28" s="44" t="e" cm="1">
        <f t="array" aca="1" ref="H28" ca="1">IF(OR(H$11="", INDIRECT("'Data Murid'!$E" &amp; ROW($E21))=""), "", IF(ISNUMBER(SEARCH(TEXT(H$11,"mm/dd/yyyy"), INDIRECT("'Data Murid'!$E" &amp; ROW($E21)))), "✔", ""))</f>
        <v>#REF!</v>
      </c>
      <c r="I28" s="44" t="e" cm="1">
        <f t="array" aca="1" ref="I28" ca="1">IF(OR(I$11="", INDIRECT("'Data Murid'!$E" &amp; ROW($E21))=""), "", IF(ISNUMBER(SEARCH(TEXT(I$11,"mm/dd/yyyy"), INDIRECT("'Data Murid'!$E" &amp; ROW($E21)))), "✔", ""))</f>
        <v>#REF!</v>
      </c>
      <c r="J28" s="44" t="e" cm="1">
        <f t="array" aca="1" ref="J28" ca="1">IF(OR(J$11="", INDIRECT("'Data Murid'!$E" &amp; ROW($E21))=""), "", IF(ISNUMBER(SEARCH(TEXT(J$11,"mm/dd/yyyy"), INDIRECT("'Data Murid'!$E" &amp; ROW($E21)))), "✔", ""))</f>
        <v>#REF!</v>
      </c>
      <c r="K28" s="44" t="e" cm="1">
        <f t="array" aca="1" ref="K28" ca="1">IF(OR(K$11="", INDIRECT("'Data Murid'!$E" &amp; ROW($E21))=""), "", IF(ISNUMBER(SEARCH(TEXT(K$11,"mm/dd/yyyy"), INDIRECT("'Data Murid'!$E" &amp; ROW($E21)))), "✔", ""))</f>
        <v>#REF!</v>
      </c>
      <c r="L28" s="44" t="e" cm="1">
        <f t="array" aca="1" ref="L28" ca="1">IF(OR(L$11="", INDIRECT("'Data Murid'!$E" &amp; ROW($E21))=""), "", IF(ISNUMBER(SEARCH(TEXT(L$11,"mm/dd/yyyy"), INDIRECT("'Data Murid'!$E" &amp; ROW($E21)))), "✔", ""))</f>
        <v>#REF!</v>
      </c>
      <c r="M28" s="44" t="e" cm="1">
        <f t="array" aca="1" ref="M28" ca="1">IF(OR(M$11="", INDIRECT("'Data Murid'!$E" &amp; ROW($E21))=""), "", IF(ISNUMBER(SEARCH(TEXT(M$11,"mm/dd/yyyy"), INDIRECT("'Data Murid'!$E" &amp; ROW($E21)))), "✔", ""))</f>
        <v>#REF!</v>
      </c>
      <c r="N28" s="44" t="e" cm="1">
        <f t="array" aca="1" ref="N28" ca="1">IF(OR(N$11="", INDIRECT("'Data Murid'!$E" &amp; ROW($E21))=""), "", IF(ISNUMBER(SEARCH(TEXT(N$11,"mm/dd/yyyy"), INDIRECT("'Data Murid'!$E" &amp; ROW($E21)))), "✔", ""))</f>
        <v>#REF!</v>
      </c>
      <c r="O28" s="44" t="e" cm="1">
        <f t="array" aca="1" ref="O28" ca="1">IF(OR(O$11="", INDIRECT("'Data Murid'!$E" &amp; ROW($E21))=""), "", IF(ISNUMBER(SEARCH(TEXT(O$11,"mm/dd/yyyy"), INDIRECT("'Data Murid'!$E" &amp; ROW($E21)))), "✔", ""))</f>
        <v>#REF!</v>
      </c>
      <c r="P28" s="44" t="e" cm="1">
        <f t="array" aca="1" ref="P28" ca="1">IF(OR(P$11="", INDIRECT("'Data Murid'!$E" &amp; ROW($E21))=""), "", IF(ISNUMBER(SEARCH(TEXT(P$11,"mm/dd/yyyy"), INDIRECT("'Data Murid'!$E" &amp; ROW($E21)))), "✔", ""))</f>
        <v>#REF!</v>
      </c>
      <c r="Q28" s="44" t="e" cm="1">
        <f t="array" aca="1" ref="Q28" ca="1">IF(OR(Q$11="", INDIRECT("'Data Murid'!$E" &amp; ROW($E21))=""), "", IF(ISNUMBER(SEARCH(TEXT(Q$11,"mm/dd/yyyy"), INDIRECT("'Data Murid'!$E" &amp; ROW($E21)))), "✔", ""))</f>
        <v>#REF!</v>
      </c>
      <c r="R28" s="44" t="e" cm="1">
        <f t="array" aca="1" ref="R28" ca="1">IF(OR(R$11="", INDIRECT("'Data Murid'!$E" &amp; ROW($E21))=""), "", IF(ISNUMBER(SEARCH(TEXT(R$11,"mm/dd/yyyy"), INDIRECT("'Data Murid'!$E" &amp; ROW($E21)))), "✔", ""))</f>
        <v>#REF!</v>
      </c>
      <c r="S28" s="44" t="e" cm="1">
        <f t="array" aca="1" ref="S28" ca="1">IF(OR(S$11="", INDIRECT("'Data Murid'!$E" &amp; ROW($E21))=""), "", IF(ISNUMBER(SEARCH(TEXT(S$11,"mm/dd/yyyy"), INDIRECT("'Data Murid'!$E" &amp; ROW($E21)))), "✔", ""))</f>
        <v>#REF!</v>
      </c>
      <c r="T28" s="44" t="e" cm="1">
        <f t="array" aca="1" ref="T28" ca="1">IF(OR(T$11="", INDIRECT("'Data Murid'!$E" &amp; ROW($E21))=""), "", IF(ISNUMBER(SEARCH(TEXT(T$11,"mm/dd/yyyy"), INDIRECT("'Data Murid'!$E" &amp; ROW($E21)))), "✔", ""))</f>
        <v>#REF!</v>
      </c>
      <c r="U28" s="44" t="e" cm="1">
        <f t="array" aca="1" ref="U28" ca="1">IF(OR(U$11="", INDIRECT("'Data Murid'!$E" &amp; ROW($E21))=""), "", IF(ISNUMBER(SEARCH(TEXT(U$11,"mm/dd/yyyy"), INDIRECT("'Data Murid'!$E" &amp; ROW($E21)))), "✔", ""))</f>
        <v>#REF!</v>
      </c>
      <c r="V28" s="44" t="e" cm="1">
        <f t="array" aca="1" ref="V28" ca="1">IF(OR(V$11="", INDIRECT("'Data Murid'!$E" &amp; ROW($E21))=""), "", IF(ISNUMBER(SEARCH(TEXT(V$11,"mm/dd/yyyy"), INDIRECT("'Data Murid'!$E" &amp; ROW($E21)))), "✔", ""))</f>
        <v>#REF!</v>
      </c>
      <c r="W28" s="44" t="e" cm="1">
        <f t="array" aca="1" ref="W28" ca="1">IF(OR(W$11="", INDIRECT("'Data Murid'!$E" &amp; ROW($E21))=""), "", IF(ISNUMBER(SEARCH(TEXT(W$11,"mm/dd/yyyy"), INDIRECT("'Data Murid'!$E" &amp; ROW($E21)))), "✔", ""))</f>
        <v>#REF!</v>
      </c>
      <c r="X28" s="44" t="e" cm="1">
        <f t="array" aca="1" ref="X28" ca="1">IF(OR(X$11="", INDIRECT("'Data Murid'!$E" &amp; ROW($E21))=""), "", IF(ISNUMBER(SEARCH(TEXT(X$11,"mm/dd/yyyy"), INDIRECT("'Data Murid'!$E" &amp; ROW($E21)))), "✔", ""))</f>
        <v>#REF!</v>
      </c>
      <c r="Y28" s="44" t="e" cm="1">
        <f t="array" aca="1" ref="Y28" ca="1">IF(OR(Y$11="", INDIRECT("'Data Murid'!$E" &amp; ROW($E21))=""), "", IF(ISNUMBER(SEARCH(TEXT(Y$11,"mm/dd/yyyy"), INDIRECT("'Data Murid'!$E" &amp; ROW($E21)))), "✔", ""))</f>
        <v>#REF!</v>
      </c>
      <c r="Z28" s="44" t="e" cm="1">
        <f t="array" aca="1" ref="Z28" ca="1">IF(OR(Z$11="", INDIRECT("'Data Murid'!$E" &amp; ROW($E21))=""), "", IF(ISNUMBER(SEARCH(TEXT(Z$11,"mm/dd/yyyy"), INDIRECT("'Data Murid'!$E" &amp; ROW($E21)))), "✔", ""))</f>
        <v>#REF!</v>
      </c>
      <c r="AA28" s="44" t="e" cm="1">
        <f t="array" aca="1" ref="AA28" ca="1">IF(OR(AA$11="", INDIRECT("'Data Murid'!$E" &amp; ROW($E21))=""), "", IF(ISNUMBER(SEARCH(TEXT(AA$11,"mm/dd/yyyy"), INDIRECT("'Data Murid'!$E" &amp; ROW($E21)))), "✔", ""))</f>
        <v>#REF!</v>
      </c>
      <c r="AB28" s="44" t="e" cm="1">
        <f t="array" aca="1" ref="AB28" ca="1">IF(OR(AB$11="", INDIRECT("'Data Murid'!$E" &amp; ROW($E21))=""), "", IF(ISNUMBER(SEARCH(TEXT(AB$11,"mm/dd/yyyy"), INDIRECT("'Data Murid'!$E" &amp; ROW($E21)))), "✔", ""))</f>
        <v>#REF!</v>
      </c>
      <c r="AC28" s="44" t="e" cm="1">
        <f t="array" aca="1" ref="AC28" ca="1">IF(OR(AC$11="", INDIRECT("'Data Murid'!$E" &amp; ROW($E21))=""), "", IF(ISNUMBER(SEARCH(TEXT(AC$11,"mm/dd/yyyy"), INDIRECT("'Data Murid'!$E" &amp; ROW($E21)))), "✔", ""))</f>
        <v>#REF!</v>
      </c>
      <c r="AD28" s="44" t="e" cm="1">
        <f t="array" aca="1" ref="AD28" ca="1">IF(OR(AD$11="", INDIRECT("'Data Murid'!$E" &amp; ROW($E21))=""), "", IF(ISNUMBER(SEARCH(TEXT(AD$11,"mm/dd/yyyy"), INDIRECT("'Data Murid'!$E" &amp; ROW($E21)))), "✔", ""))</f>
        <v>#REF!</v>
      </c>
      <c r="AE28" s="44" t="e" cm="1">
        <f t="array" aca="1" ref="AE28" ca="1">IF(OR(AE$11="", INDIRECT("'Data Murid'!$E" &amp; ROW($E21))=""), "", IF(ISNUMBER(SEARCH(TEXT(AE$11,"mm/dd/yyyy"), INDIRECT("'Data Murid'!$E" &amp; ROW($E21)))), "✔", ""))</f>
        <v>#REF!</v>
      </c>
      <c r="AF28" s="44" t="e" cm="1">
        <f t="array" aca="1" ref="AF28" ca="1">IF(OR(AF$11="", INDIRECT("'Data Murid'!$E" &amp; ROW($E21))=""), "", IF(ISNUMBER(SEARCH(TEXT(AF$11,"mm/dd/yyyy"), INDIRECT("'Data Murid'!$E" &amp; ROW($E21)))), "✔", ""))</f>
        <v>#REF!</v>
      </c>
      <c r="AG28" s="44" t="e" cm="1">
        <f t="array" aca="1" ref="AG28" ca="1">IF(OR(AG$11="", INDIRECT("'Data Murid'!$E" &amp; ROW($E21))=""), "", IF(ISNUMBER(SEARCH(TEXT(AG$11,"mm/dd/yyyy"), INDIRECT("'Data Murid'!$E" &amp; ROW($E21)))), "✔", ""))</f>
        <v>#REF!</v>
      </c>
      <c r="AH28" s="44" t="e" cm="1">
        <f t="array" aca="1" ref="AH28" ca="1">IF(OR(AH$11="", INDIRECT("'Data Murid'!$E" &amp; ROW($E21))=""), "", IF(ISNUMBER(SEARCH(TEXT(AH$11,"mm/dd/yyyy"), INDIRECT("'Data Murid'!$E" &amp; ROW($E21)))), "✔", ""))</f>
        <v>#REF!</v>
      </c>
      <c r="AI28" s="44" t="e" cm="1">
        <f t="array" aca="1" ref="AI28" ca="1">IF(OR(AI$11="", INDIRECT("'Data Murid'!$E" &amp; ROW($E21))=""), "", IF(ISNUMBER(SEARCH(TEXT(AI$11,"mm/dd/yyyy"), INDIRECT("'Data Murid'!$E" &amp; ROW($E21)))), "✔", ""))</f>
        <v>#REF!</v>
      </c>
      <c r="AJ28" s="40">
        <f t="shared" ca="1" si="2"/>
        <v>0</v>
      </c>
    </row>
    <row r="29" spans="1:39" ht="14.25" customHeight="1" x14ac:dyDescent="0.25">
      <c r="A29" s="27">
        <v>15</v>
      </c>
      <c r="B29" s="25" t="e">
        <f ca="1">'rekap absensi seluruhnya'!B34</f>
        <v>#REF!</v>
      </c>
      <c r="C29" s="52" t="e">
        <f ca="1">'rekap absensi seluruhnya'!C34</f>
        <v>#REF!</v>
      </c>
      <c r="D29" s="25" t="e">
        <f ca="1">'rekap absensi seluruhnya'!D34</f>
        <v>#REF!</v>
      </c>
      <c r="E29" s="44" t="e" cm="1">
        <f t="array" aca="1" ref="E29" ca="1">IF(OR(E$11="", INDIRECT("'Data Murid'!$E" &amp; ROW($E22))=""), "", IF(ISNUMBER(SEARCH(TEXT(E$11,"mm/dd/yyyy"), INDIRECT("'Data Murid'!$E" &amp; ROW($E22)))), "✔", ""))</f>
        <v>#REF!</v>
      </c>
      <c r="F29" s="44" t="e" cm="1">
        <f t="array" aca="1" ref="F29" ca="1">IF(OR(F$11="", INDIRECT("'Data Murid'!$E" &amp; ROW($E22))=""), "", IF(ISNUMBER(SEARCH(TEXT(F$11,"mm/dd/yyyy"), INDIRECT("'Data Murid'!$E" &amp; ROW($E22)))), "✔", ""))</f>
        <v>#REF!</v>
      </c>
      <c r="G29" s="44" t="e" cm="1">
        <f t="array" aca="1" ref="G29" ca="1">IF(OR(G$11="", INDIRECT("'Data Murid'!$E" &amp; ROW($E22))=""), "", IF(ISNUMBER(SEARCH(TEXT(G$11,"mm/dd/yyyy"), INDIRECT("'Data Murid'!$E" &amp; ROW($E22)))), "✔", ""))</f>
        <v>#REF!</v>
      </c>
      <c r="H29" s="44" t="e" cm="1">
        <f t="array" aca="1" ref="H29" ca="1">IF(OR(H$11="", INDIRECT("'Data Murid'!$E" &amp; ROW($E22))=""), "", IF(ISNUMBER(SEARCH(TEXT(H$11,"mm/dd/yyyy"), INDIRECT("'Data Murid'!$E" &amp; ROW($E22)))), "✔", ""))</f>
        <v>#REF!</v>
      </c>
      <c r="I29" s="44" t="e" cm="1">
        <f t="array" aca="1" ref="I29" ca="1">IF(OR(I$11="", INDIRECT("'Data Murid'!$E" &amp; ROW($E22))=""), "", IF(ISNUMBER(SEARCH(TEXT(I$11,"mm/dd/yyyy"), INDIRECT("'Data Murid'!$E" &amp; ROW($E22)))), "✔", ""))</f>
        <v>#REF!</v>
      </c>
      <c r="J29" s="44" t="e" cm="1">
        <f t="array" aca="1" ref="J29" ca="1">IF(OR(J$11="", INDIRECT("'Data Murid'!$E" &amp; ROW($E22))=""), "", IF(ISNUMBER(SEARCH(TEXT(J$11,"mm/dd/yyyy"), INDIRECT("'Data Murid'!$E" &amp; ROW($E22)))), "✔", ""))</f>
        <v>#REF!</v>
      </c>
      <c r="K29" s="44" t="e" cm="1">
        <f t="array" aca="1" ref="K29" ca="1">IF(OR(K$11="", INDIRECT("'Data Murid'!$E" &amp; ROW($E22))=""), "", IF(ISNUMBER(SEARCH(TEXT(K$11,"mm/dd/yyyy"), INDIRECT("'Data Murid'!$E" &amp; ROW($E22)))), "✔", ""))</f>
        <v>#REF!</v>
      </c>
      <c r="L29" s="44" t="e" cm="1">
        <f t="array" aca="1" ref="L29" ca="1">IF(OR(L$11="", INDIRECT("'Data Murid'!$E" &amp; ROW($E22))=""), "", IF(ISNUMBER(SEARCH(TEXT(L$11,"mm/dd/yyyy"), INDIRECT("'Data Murid'!$E" &amp; ROW($E22)))), "✔", ""))</f>
        <v>#REF!</v>
      </c>
      <c r="M29" s="44" t="e" cm="1">
        <f t="array" aca="1" ref="M29" ca="1">IF(OR(M$11="", INDIRECT("'Data Murid'!$E" &amp; ROW($E22))=""), "", IF(ISNUMBER(SEARCH(TEXT(M$11,"mm/dd/yyyy"), INDIRECT("'Data Murid'!$E" &amp; ROW($E22)))), "✔", ""))</f>
        <v>#REF!</v>
      </c>
      <c r="N29" s="44" t="e" cm="1">
        <f t="array" aca="1" ref="N29" ca="1">IF(OR(N$11="", INDIRECT("'Data Murid'!$E" &amp; ROW($E22))=""), "", IF(ISNUMBER(SEARCH(TEXT(N$11,"mm/dd/yyyy"), INDIRECT("'Data Murid'!$E" &amp; ROW($E22)))), "✔", ""))</f>
        <v>#REF!</v>
      </c>
      <c r="O29" s="44" t="e" cm="1">
        <f t="array" aca="1" ref="O29" ca="1">IF(OR(O$11="", INDIRECT("'Data Murid'!$E" &amp; ROW($E22))=""), "", IF(ISNUMBER(SEARCH(TEXT(O$11,"mm/dd/yyyy"), INDIRECT("'Data Murid'!$E" &amp; ROW($E22)))), "✔", ""))</f>
        <v>#REF!</v>
      </c>
      <c r="P29" s="44" t="e" cm="1">
        <f t="array" aca="1" ref="P29" ca="1">IF(OR(P$11="", INDIRECT("'Data Murid'!$E" &amp; ROW($E22))=""), "", IF(ISNUMBER(SEARCH(TEXT(P$11,"mm/dd/yyyy"), INDIRECT("'Data Murid'!$E" &amp; ROW($E22)))), "✔", ""))</f>
        <v>#REF!</v>
      </c>
      <c r="Q29" s="44" t="e" cm="1">
        <f t="array" aca="1" ref="Q29" ca="1">IF(OR(Q$11="", INDIRECT("'Data Murid'!$E" &amp; ROW($E22))=""), "", IF(ISNUMBER(SEARCH(TEXT(Q$11,"mm/dd/yyyy"), INDIRECT("'Data Murid'!$E" &amp; ROW($E22)))), "✔", ""))</f>
        <v>#REF!</v>
      </c>
      <c r="R29" s="44" t="e" cm="1">
        <f t="array" aca="1" ref="R29" ca="1">IF(OR(R$11="", INDIRECT("'Data Murid'!$E" &amp; ROW($E22))=""), "", IF(ISNUMBER(SEARCH(TEXT(R$11,"mm/dd/yyyy"), INDIRECT("'Data Murid'!$E" &amp; ROW($E22)))), "✔", ""))</f>
        <v>#REF!</v>
      </c>
      <c r="S29" s="44" t="e" cm="1">
        <f t="array" aca="1" ref="S29" ca="1">IF(OR(S$11="", INDIRECT("'Data Murid'!$E" &amp; ROW($E22))=""), "", IF(ISNUMBER(SEARCH(TEXT(S$11,"mm/dd/yyyy"), INDIRECT("'Data Murid'!$E" &amp; ROW($E22)))), "✔", ""))</f>
        <v>#REF!</v>
      </c>
      <c r="T29" s="44" t="e" cm="1">
        <f t="array" aca="1" ref="T29" ca="1">IF(OR(T$11="", INDIRECT("'Data Murid'!$E" &amp; ROW($E22))=""), "", IF(ISNUMBER(SEARCH(TEXT(T$11,"mm/dd/yyyy"), INDIRECT("'Data Murid'!$E" &amp; ROW($E22)))), "✔", ""))</f>
        <v>#REF!</v>
      </c>
      <c r="U29" s="44" t="e" cm="1">
        <f t="array" aca="1" ref="U29" ca="1">IF(OR(U$11="", INDIRECT("'Data Murid'!$E" &amp; ROW($E22))=""), "", IF(ISNUMBER(SEARCH(TEXT(U$11,"mm/dd/yyyy"), INDIRECT("'Data Murid'!$E" &amp; ROW($E22)))), "✔", ""))</f>
        <v>#REF!</v>
      </c>
      <c r="V29" s="44" t="e" cm="1">
        <f t="array" aca="1" ref="V29" ca="1">IF(OR(V$11="", INDIRECT("'Data Murid'!$E" &amp; ROW($E22))=""), "", IF(ISNUMBER(SEARCH(TEXT(V$11,"mm/dd/yyyy"), INDIRECT("'Data Murid'!$E" &amp; ROW($E22)))), "✔", ""))</f>
        <v>#REF!</v>
      </c>
      <c r="W29" s="44" t="e" cm="1">
        <f t="array" aca="1" ref="W29" ca="1">IF(OR(W$11="", INDIRECT("'Data Murid'!$E" &amp; ROW($E22))=""), "", IF(ISNUMBER(SEARCH(TEXT(W$11,"mm/dd/yyyy"), INDIRECT("'Data Murid'!$E" &amp; ROW($E22)))), "✔", ""))</f>
        <v>#REF!</v>
      </c>
      <c r="X29" s="44" t="e" cm="1">
        <f t="array" aca="1" ref="X29" ca="1">IF(OR(X$11="", INDIRECT("'Data Murid'!$E" &amp; ROW($E22))=""), "", IF(ISNUMBER(SEARCH(TEXT(X$11,"mm/dd/yyyy"), INDIRECT("'Data Murid'!$E" &amp; ROW($E22)))), "✔", ""))</f>
        <v>#REF!</v>
      </c>
      <c r="Y29" s="44" t="e" cm="1">
        <f t="array" aca="1" ref="Y29" ca="1">IF(OR(Y$11="", INDIRECT("'Data Murid'!$E" &amp; ROW($E22))=""), "", IF(ISNUMBER(SEARCH(TEXT(Y$11,"mm/dd/yyyy"), INDIRECT("'Data Murid'!$E" &amp; ROW($E22)))), "✔", ""))</f>
        <v>#REF!</v>
      </c>
      <c r="Z29" s="44" t="e" cm="1">
        <f t="array" aca="1" ref="Z29" ca="1">IF(OR(Z$11="", INDIRECT("'Data Murid'!$E" &amp; ROW($E22))=""), "", IF(ISNUMBER(SEARCH(TEXT(Z$11,"mm/dd/yyyy"), INDIRECT("'Data Murid'!$E" &amp; ROW($E22)))), "✔", ""))</f>
        <v>#REF!</v>
      </c>
      <c r="AA29" s="44" t="e" cm="1">
        <f t="array" aca="1" ref="AA29" ca="1">IF(OR(AA$11="", INDIRECT("'Data Murid'!$E" &amp; ROW($E22))=""), "", IF(ISNUMBER(SEARCH(TEXT(AA$11,"mm/dd/yyyy"), INDIRECT("'Data Murid'!$E" &amp; ROW($E22)))), "✔", ""))</f>
        <v>#REF!</v>
      </c>
      <c r="AB29" s="44" t="e" cm="1">
        <f t="array" aca="1" ref="AB29" ca="1">IF(OR(AB$11="", INDIRECT("'Data Murid'!$E" &amp; ROW($E22))=""), "", IF(ISNUMBER(SEARCH(TEXT(AB$11,"mm/dd/yyyy"), INDIRECT("'Data Murid'!$E" &amp; ROW($E22)))), "✔", ""))</f>
        <v>#REF!</v>
      </c>
      <c r="AC29" s="44" t="e" cm="1">
        <f t="array" aca="1" ref="AC29" ca="1">IF(OR(AC$11="", INDIRECT("'Data Murid'!$E" &amp; ROW($E22))=""), "", IF(ISNUMBER(SEARCH(TEXT(AC$11,"mm/dd/yyyy"), INDIRECT("'Data Murid'!$E" &amp; ROW($E22)))), "✔", ""))</f>
        <v>#REF!</v>
      </c>
      <c r="AD29" s="44" t="e" cm="1">
        <f t="array" aca="1" ref="AD29" ca="1">IF(OR(AD$11="", INDIRECT("'Data Murid'!$E" &amp; ROW($E22))=""), "", IF(ISNUMBER(SEARCH(TEXT(AD$11,"mm/dd/yyyy"), INDIRECT("'Data Murid'!$E" &amp; ROW($E22)))), "✔", ""))</f>
        <v>#REF!</v>
      </c>
      <c r="AE29" s="44" t="e" cm="1">
        <f t="array" aca="1" ref="AE29" ca="1">IF(OR(AE$11="", INDIRECT("'Data Murid'!$E" &amp; ROW($E22))=""), "", IF(ISNUMBER(SEARCH(TEXT(AE$11,"mm/dd/yyyy"), INDIRECT("'Data Murid'!$E" &amp; ROW($E22)))), "✔", ""))</f>
        <v>#REF!</v>
      </c>
      <c r="AF29" s="44" t="e" cm="1">
        <f t="array" aca="1" ref="AF29" ca="1">IF(OR(AF$11="", INDIRECT("'Data Murid'!$E" &amp; ROW($E22))=""), "", IF(ISNUMBER(SEARCH(TEXT(AF$11,"mm/dd/yyyy"), INDIRECT("'Data Murid'!$E" &amp; ROW($E22)))), "✔", ""))</f>
        <v>#REF!</v>
      </c>
      <c r="AG29" s="44" t="e" cm="1">
        <f t="array" aca="1" ref="AG29" ca="1">IF(OR(AG$11="", INDIRECT("'Data Murid'!$E" &amp; ROW($E22))=""), "", IF(ISNUMBER(SEARCH(TEXT(AG$11,"mm/dd/yyyy"), INDIRECT("'Data Murid'!$E" &amp; ROW($E22)))), "✔", ""))</f>
        <v>#REF!</v>
      </c>
      <c r="AH29" s="44" t="e" cm="1">
        <f t="array" aca="1" ref="AH29" ca="1">IF(OR(AH$11="", INDIRECT("'Data Murid'!$E" &amp; ROW($E22))=""), "", IF(ISNUMBER(SEARCH(TEXT(AH$11,"mm/dd/yyyy"), INDIRECT("'Data Murid'!$E" &amp; ROW($E22)))), "✔", ""))</f>
        <v>#REF!</v>
      </c>
      <c r="AI29" s="44" t="e" cm="1">
        <f t="array" aca="1" ref="AI29" ca="1">IF(OR(AI$11="", INDIRECT("'Data Murid'!$E" &amp; ROW($E22))=""), "", IF(ISNUMBER(SEARCH(TEXT(AI$11,"mm/dd/yyyy"), INDIRECT("'Data Murid'!$E" &amp; ROW($E22)))), "✔", ""))</f>
        <v>#REF!</v>
      </c>
      <c r="AJ29" s="40">
        <f t="shared" ca="1" si="2"/>
        <v>0</v>
      </c>
    </row>
    <row r="30" spans="1:39" ht="14.25" customHeight="1" x14ac:dyDescent="0.25">
      <c r="A30" s="27">
        <v>16</v>
      </c>
      <c r="B30" s="25" t="e">
        <f ca="1">'rekap absensi seluruhnya'!B35</f>
        <v>#REF!</v>
      </c>
      <c r="C30" s="52" t="e">
        <f ca="1">'rekap absensi seluruhnya'!C35</f>
        <v>#REF!</v>
      </c>
      <c r="D30" s="25" t="e">
        <f ca="1">'rekap absensi seluruhnya'!D35</f>
        <v>#REF!</v>
      </c>
      <c r="E30" s="44" t="e" cm="1">
        <f t="array" aca="1" ref="E30" ca="1">IF(OR(E$11="", INDIRECT("'Data Murid'!$E" &amp; ROW($E23))=""), "", IF(ISNUMBER(SEARCH(TEXT(E$11,"mm/dd/yyyy"), INDIRECT("'Data Murid'!$E" &amp; ROW($E23)))), "✔", ""))</f>
        <v>#REF!</v>
      </c>
      <c r="F30" s="44" t="e" cm="1">
        <f t="array" aca="1" ref="F30" ca="1">IF(OR(F$11="", INDIRECT("'Data Murid'!$E" &amp; ROW($E23))=""), "", IF(ISNUMBER(SEARCH(TEXT(F$11,"mm/dd/yyyy"), INDIRECT("'Data Murid'!$E" &amp; ROW($E23)))), "✔", ""))</f>
        <v>#REF!</v>
      </c>
      <c r="G30" s="44" t="e" cm="1">
        <f t="array" aca="1" ref="G30" ca="1">IF(OR(G$11="", INDIRECT("'Data Murid'!$E" &amp; ROW($E23))=""), "", IF(ISNUMBER(SEARCH(TEXT(G$11,"mm/dd/yyyy"), INDIRECT("'Data Murid'!$E" &amp; ROW($E23)))), "✔", ""))</f>
        <v>#REF!</v>
      </c>
      <c r="H30" s="44" t="e" cm="1">
        <f t="array" aca="1" ref="H30" ca="1">IF(OR(H$11="", INDIRECT("'Data Murid'!$E" &amp; ROW($E23))=""), "", IF(ISNUMBER(SEARCH(TEXT(H$11,"mm/dd/yyyy"), INDIRECT("'Data Murid'!$E" &amp; ROW($E23)))), "✔", ""))</f>
        <v>#REF!</v>
      </c>
      <c r="I30" s="44" t="e" cm="1">
        <f t="array" aca="1" ref="I30" ca="1">IF(OR(I$11="", INDIRECT("'Data Murid'!$E" &amp; ROW($E23))=""), "", IF(ISNUMBER(SEARCH(TEXT(I$11,"mm/dd/yyyy"), INDIRECT("'Data Murid'!$E" &amp; ROW($E23)))), "✔", ""))</f>
        <v>#REF!</v>
      </c>
      <c r="J30" s="44" t="e" cm="1">
        <f t="array" aca="1" ref="J30" ca="1">IF(OR(J$11="", INDIRECT("'Data Murid'!$E" &amp; ROW($E23))=""), "", IF(ISNUMBER(SEARCH(TEXT(J$11,"mm/dd/yyyy"), INDIRECT("'Data Murid'!$E" &amp; ROW($E23)))), "✔", ""))</f>
        <v>#REF!</v>
      </c>
      <c r="K30" s="44" t="e" cm="1">
        <f t="array" aca="1" ref="K30" ca="1">IF(OR(K$11="", INDIRECT("'Data Murid'!$E" &amp; ROW($E23))=""), "", IF(ISNUMBER(SEARCH(TEXT(K$11,"mm/dd/yyyy"), INDIRECT("'Data Murid'!$E" &amp; ROW($E23)))), "✔", ""))</f>
        <v>#REF!</v>
      </c>
      <c r="L30" s="44" t="e" cm="1">
        <f t="array" aca="1" ref="L30" ca="1">IF(OR(L$11="", INDIRECT("'Data Murid'!$E" &amp; ROW($E23))=""), "", IF(ISNUMBER(SEARCH(TEXT(L$11,"mm/dd/yyyy"), INDIRECT("'Data Murid'!$E" &amp; ROW($E23)))), "✔", ""))</f>
        <v>#REF!</v>
      </c>
      <c r="M30" s="44" t="e" cm="1">
        <f t="array" aca="1" ref="M30" ca="1">IF(OR(M$11="", INDIRECT("'Data Murid'!$E" &amp; ROW($E23))=""), "", IF(ISNUMBER(SEARCH(TEXT(M$11,"mm/dd/yyyy"), INDIRECT("'Data Murid'!$E" &amp; ROW($E23)))), "✔", ""))</f>
        <v>#REF!</v>
      </c>
      <c r="N30" s="44" t="e" cm="1">
        <f t="array" aca="1" ref="N30" ca="1">IF(OR(N$11="", INDIRECT("'Data Murid'!$E" &amp; ROW($E23))=""), "", IF(ISNUMBER(SEARCH(TEXT(N$11,"mm/dd/yyyy"), INDIRECT("'Data Murid'!$E" &amp; ROW($E23)))), "✔", ""))</f>
        <v>#REF!</v>
      </c>
      <c r="O30" s="44" t="e" cm="1">
        <f t="array" aca="1" ref="O30" ca="1">IF(OR(O$11="", INDIRECT("'Data Murid'!$E" &amp; ROW($E23))=""), "", IF(ISNUMBER(SEARCH(TEXT(O$11,"mm/dd/yyyy"), INDIRECT("'Data Murid'!$E" &amp; ROW($E23)))), "✔", ""))</f>
        <v>#REF!</v>
      </c>
      <c r="P30" s="44" t="e" cm="1">
        <f t="array" aca="1" ref="P30" ca="1">IF(OR(P$11="", INDIRECT("'Data Murid'!$E" &amp; ROW($E23))=""), "", IF(ISNUMBER(SEARCH(TEXT(P$11,"mm/dd/yyyy"), INDIRECT("'Data Murid'!$E" &amp; ROW($E23)))), "✔", ""))</f>
        <v>#REF!</v>
      </c>
      <c r="Q30" s="44" t="e" cm="1">
        <f t="array" aca="1" ref="Q30" ca="1">IF(OR(Q$11="", INDIRECT("'Data Murid'!$E" &amp; ROW($E23))=""), "", IF(ISNUMBER(SEARCH(TEXT(Q$11,"mm/dd/yyyy"), INDIRECT("'Data Murid'!$E" &amp; ROW($E23)))), "✔", ""))</f>
        <v>#REF!</v>
      </c>
      <c r="R30" s="44" t="e" cm="1">
        <f t="array" aca="1" ref="R30" ca="1">IF(OR(R$11="", INDIRECT("'Data Murid'!$E" &amp; ROW($E23))=""), "", IF(ISNUMBER(SEARCH(TEXT(R$11,"mm/dd/yyyy"), INDIRECT("'Data Murid'!$E" &amp; ROW($E23)))), "✔", ""))</f>
        <v>#REF!</v>
      </c>
      <c r="S30" s="44" t="e" cm="1">
        <f t="array" aca="1" ref="S30" ca="1">IF(OR(S$11="", INDIRECT("'Data Murid'!$E" &amp; ROW($E23))=""), "", IF(ISNUMBER(SEARCH(TEXT(S$11,"mm/dd/yyyy"), INDIRECT("'Data Murid'!$E" &amp; ROW($E23)))), "✔", ""))</f>
        <v>#REF!</v>
      </c>
      <c r="T30" s="44" t="e" cm="1">
        <f t="array" aca="1" ref="T30" ca="1">IF(OR(T$11="", INDIRECT("'Data Murid'!$E" &amp; ROW($E23))=""), "", IF(ISNUMBER(SEARCH(TEXT(T$11,"mm/dd/yyyy"), INDIRECT("'Data Murid'!$E" &amp; ROW($E23)))), "✔", ""))</f>
        <v>#REF!</v>
      </c>
      <c r="U30" s="44" t="e" cm="1">
        <f t="array" aca="1" ref="U30" ca="1">IF(OR(U$11="", INDIRECT("'Data Murid'!$E" &amp; ROW($E23))=""), "", IF(ISNUMBER(SEARCH(TEXT(U$11,"mm/dd/yyyy"), INDIRECT("'Data Murid'!$E" &amp; ROW($E23)))), "✔", ""))</f>
        <v>#REF!</v>
      </c>
      <c r="V30" s="44" t="e" cm="1">
        <f t="array" aca="1" ref="V30" ca="1">IF(OR(V$11="", INDIRECT("'Data Murid'!$E" &amp; ROW($E23))=""), "", IF(ISNUMBER(SEARCH(TEXT(V$11,"mm/dd/yyyy"), INDIRECT("'Data Murid'!$E" &amp; ROW($E23)))), "✔", ""))</f>
        <v>#REF!</v>
      </c>
      <c r="W30" s="44" t="e" cm="1">
        <f t="array" aca="1" ref="W30" ca="1">IF(OR(W$11="", INDIRECT("'Data Murid'!$E" &amp; ROW($E23))=""), "", IF(ISNUMBER(SEARCH(TEXT(W$11,"mm/dd/yyyy"), INDIRECT("'Data Murid'!$E" &amp; ROW($E23)))), "✔", ""))</f>
        <v>#REF!</v>
      </c>
      <c r="X30" s="44" t="e" cm="1">
        <f t="array" aca="1" ref="X30" ca="1">IF(OR(X$11="", INDIRECT("'Data Murid'!$E" &amp; ROW($E23))=""), "", IF(ISNUMBER(SEARCH(TEXT(X$11,"mm/dd/yyyy"), INDIRECT("'Data Murid'!$E" &amp; ROW($E23)))), "✔", ""))</f>
        <v>#REF!</v>
      </c>
      <c r="Y30" s="44" t="e" cm="1">
        <f t="array" aca="1" ref="Y30" ca="1">IF(OR(Y$11="", INDIRECT("'Data Murid'!$E" &amp; ROW($E23))=""), "", IF(ISNUMBER(SEARCH(TEXT(Y$11,"mm/dd/yyyy"), INDIRECT("'Data Murid'!$E" &amp; ROW($E23)))), "✔", ""))</f>
        <v>#REF!</v>
      </c>
      <c r="Z30" s="44" t="e" cm="1">
        <f t="array" aca="1" ref="Z30" ca="1">IF(OR(Z$11="", INDIRECT("'Data Murid'!$E" &amp; ROW($E23))=""), "", IF(ISNUMBER(SEARCH(TEXT(Z$11,"mm/dd/yyyy"), INDIRECT("'Data Murid'!$E" &amp; ROW($E23)))), "✔", ""))</f>
        <v>#REF!</v>
      </c>
      <c r="AA30" s="44" t="e" cm="1">
        <f t="array" aca="1" ref="AA30" ca="1">IF(OR(AA$11="", INDIRECT("'Data Murid'!$E" &amp; ROW($E23))=""), "", IF(ISNUMBER(SEARCH(TEXT(AA$11,"mm/dd/yyyy"), INDIRECT("'Data Murid'!$E" &amp; ROW($E23)))), "✔", ""))</f>
        <v>#REF!</v>
      </c>
      <c r="AB30" s="44" t="e" cm="1">
        <f t="array" aca="1" ref="AB30" ca="1">IF(OR(AB$11="", INDIRECT("'Data Murid'!$E" &amp; ROW($E23))=""), "", IF(ISNUMBER(SEARCH(TEXT(AB$11,"mm/dd/yyyy"), INDIRECT("'Data Murid'!$E" &amp; ROW($E23)))), "✔", ""))</f>
        <v>#REF!</v>
      </c>
      <c r="AC30" s="44" t="e" cm="1">
        <f t="array" aca="1" ref="AC30" ca="1">IF(OR(AC$11="", INDIRECT("'Data Murid'!$E" &amp; ROW($E23))=""), "", IF(ISNUMBER(SEARCH(TEXT(AC$11,"mm/dd/yyyy"), INDIRECT("'Data Murid'!$E" &amp; ROW($E23)))), "✔", ""))</f>
        <v>#REF!</v>
      </c>
      <c r="AD30" s="44" t="e" cm="1">
        <f t="array" aca="1" ref="AD30" ca="1">IF(OR(AD$11="", INDIRECT("'Data Murid'!$E" &amp; ROW($E23))=""), "", IF(ISNUMBER(SEARCH(TEXT(AD$11,"mm/dd/yyyy"), INDIRECT("'Data Murid'!$E" &amp; ROW($E23)))), "✔", ""))</f>
        <v>#REF!</v>
      </c>
      <c r="AE30" s="44" t="e" cm="1">
        <f t="array" aca="1" ref="AE30" ca="1">IF(OR(AE$11="", INDIRECT("'Data Murid'!$E" &amp; ROW($E23))=""), "", IF(ISNUMBER(SEARCH(TEXT(AE$11,"mm/dd/yyyy"), INDIRECT("'Data Murid'!$E" &amp; ROW($E23)))), "✔", ""))</f>
        <v>#REF!</v>
      </c>
      <c r="AF30" s="44" t="e" cm="1">
        <f t="array" aca="1" ref="AF30" ca="1">IF(OR(AF$11="", INDIRECT("'Data Murid'!$E" &amp; ROW($E23))=""), "", IF(ISNUMBER(SEARCH(TEXT(AF$11,"mm/dd/yyyy"), INDIRECT("'Data Murid'!$E" &amp; ROW($E23)))), "✔", ""))</f>
        <v>#REF!</v>
      </c>
      <c r="AG30" s="44" t="e" cm="1">
        <f t="array" aca="1" ref="AG30" ca="1">IF(OR(AG$11="", INDIRECT("'Data Murid'!$E" &amp; ROW($E23))=""), "", IF(ISNUMBER(SEARCH(TEXT(AG$11,"mm/dd/yyyy"), INDIRECT("'Data Murid'!$E" &amp; ROW($E23)))), "✔", ""))</f>
        <v>#REF!</v>
      </c>
      <c r="AH30" s="44" t="e" cm="1">
        <f t="array" aca="1" ref="AH30" ca="1">IF(OR(AH$11="", INDIRECT("'Data Murid'!$E" &amp; ROW($E23))=""), "", IF(ISNUMBER(SEARCH(TEXT(AH$11,"mm/dd/yyyy"), INDIRECT("'Data Murid'!$E" &amp; ROW($E23)))), "✔", ""))</f>
        <v>#REF!</v>
      </c>
      <c r="AI30" s="44" t="e" cm="1">
        <f t="array" aca="1" ref="AI30" ca="1">IF(OR(AI$11="", INDIRECT("'Data Murid'!$E" &amp; ROW($E23))=""), "", IF(ISNUMBER(SEARCH(TEXT(AI$11,"mm/dd/yyyy"), INDIRECT("'Data Murid'!$E" &amp; ROW($E23)))), "✔", ""))</f>
        <v>#REF!</v>
      </c>
      <c r="AJ30" s="40">
        <f t="shared" ca="1" si="2"/>
        <v>0</v>
      </c>
    </row>
    <row r="31" spans="1:39" ht="14.25" customHeight="1" x14ac:dyDescent="0.25">
      <c r="A31" s="27">
        <v>17</v>
      </c>
      <c r="B31" s="25" t="e">
        <f ca="1">'rekap absensi seluruhnya'!B36</f>
        <v>#REF!</v>
      </c>
      <c r="C31" s="52" t="e">
        <f ca="1">'rekap absensi seluruhnya'!C36</f>
        <v>#REF!</v>
      </c>
      <c r="D31" s="25" t="e">
        <f ca="1">'rekap absensi seluruhnya'!D36</f>
        <v>#REF!</v>
      </c>
      <c r="E31" s="44" t="e" cm="1">
        <f t="array" aca="1" ref="E31" ca="1">IF(OR(E$11="", INDIRECT("'Data Murid'!$E" &amp; ROW($E24))=""), "", IF(ISNUMBER(SEARCH(TEXT(E$11,"mm/dd/yyyy"), INDIRECT("'Data Murid'!$E" &amp; ROW($E24)))), "✔", ""))</f>
        <v>#REF!</v>
      </c>
      <c r="F31" s="44" t="e" cm="1">
        <f t="array" aca="1" ref="F31" ca="1">IF(OR(F$11="", INDIRECT("'Data Murid'!$E" &amp; ROW($E24))=""), "", IF(ISNUMBER(SEARCH(TEXT(F$11,"mm/dd/yyyy"), INDIRECT("'Data Murid'!$E" &amp; ROW($E24)))), "✔", ""))</f>
        <v>#REF!</v>
      </c>
      <c r="G31" s="44" t="e" cm="1">
        <f t="array" aca="1" ref="G31" ca="1">IF(OR(G$11="", INDIRECT("'Data Murid'!$E" &amp; ROW($E24))=""), "", IF(ISNUMBER(SEARCH(TEXT(G$11,"mm/dd/yyyy"), INDIRECT("'Data Murid'!$E" &amp; ROW($E24)))), "✔", ""))</f>
        <v>#REF!</v>
      </c>
      <c r="H31" s="44" t="e" cm="1">
        <f t="array" aca="1" ref="H31" ca="1">IF(OR(H$11="", INDIRECT("'Data Murid'!$E" &amp; ROW($E24))=""), "", IF(ISNUMBER(SEARCH(TEXT(H$11,"mm/dd/yyyy"), INDIRECT("'Data Murid'!$E" &amp; ROW($E24)))), "✔", ""))</f>
        <v>#REF!</v>
      </c>
      <c r="I31" s="44" t="e" cm="1">
        <f t="array" aca="1" ref="I31" ca="1">IF(OR(I$11="", INDIRECT("'Data Murid'!$E" &amp; ROW($E24))=""), "", IF(ISNUMBER(SEARCH(TEXT(I$11,"mm/dd/yyyy"), INDIRECT("'Data Murid'!$E" &amp; ROW($E24)))), "✔", ""))</f>
        <v>#REF!</v>
      </c>
      <c r="J31" s="44" t="e" cm="1">
        <f t="array" aca="1" ref="J31" ca="1">IF(OR(J$11="", INDIRECT("'Data Murid'!$E" &amp; ROW($E24))=""), "", IF(ISNUMBER(SEARCH(TEXT(J$11,"mm/dd/yyyy"), INDIRECT("'Data Murid'!$E" &amp; ROW($E24)))), "✔", ""))</f>
        <v>#REF!</v>
      </c>
      <c r="K31" s="44" t="e" cm="1">
        <f t="array" aca="1" ref="K31" ca="1">IF(OR(K$11="", INDIRECT("'Data Murid'!$E" &amp; ROW($E24))=""), "", IF(ISNUMBER(SEARCH(TEXT(K$11,"mm/dd/yyyy"), INDIRECT("'Data Murid'!$E" &amp; ROW($E24)))), "✔", ""))</f>
        <v>#REF!</v>
      </c>
      <c r="L31" s="44" t="e" cm="1">
        <f t="array" aca="1" ref="L31" ca="1">IF(OR(L$11="", INDIRECT("'Data Murid'!$E" &amp; ROW($E24))=""), "", IF(ISNUMBER(SEARCH(TEXT(L$11,"mm/dd/yyyy"), INDIRECT("'Data Murid'!$E" &amp; ROW($E24)))), "✔", ""))</f>
        <v>#REF!</v>
      </c>
      <c r="M31" s="44" t="e" cm="1">
        <f t="array" aca="1" ref="M31" ca="1">IF(OR(M$11="", INDIRECT("'Data Murid'!$E" &amp; ROW($E24))=""), "", IF(ISNUMBER(SEARCH(TEXT(M$11,"mm/dd/yyyy"), INDIRECT("'Data Murid'!$E" &amp; ROW($E24)))), "✔", ""))</f>
        <v>#REF!</v>
      </c>
      <c r="N31" s="44" t="e" cm="1">
        <f t="array" aca="1" ref="N31" ca="1">IF(OR(N$11="", INDIRECT("'Data Murid'!$E" &amp; ROW($E24))=""), "", IF(ISNUMBER(SEARCH(TEXT(N$11,"mm/dd/yyyy"), INDIRECT("'Data Murid'!$E" &amp; ROW($E24)))), "✔", ""))</f>
        <v>#REF!</v>
      </c>
      <c r="O31" s="44" t="e" cm="1">
        <f t="array" aca="1" ref="O31" ca="1">IF(OR(O$11="", INDIRECT("'Data Murid'!$E" &amp; ROW($E24))=""), "", IF(ISNUMBER(SEARCH(TEXT(O$11,"mm/dd/yyyy"), INDIRECT("'Data Murid'!$E" &amp; ROW($E24)))), "✔", ""))</f>
        <v>#REF!</v>
      </c>
      <c r="P31" s="44" t="e" cm="1">
        <f t="array" aca="1" ref="P31" ca="1">IF(OR(P$11="", INDIRECT("'Data Murid'!$E" &amp; ROW($E24))=""), "", IF(ISNUMBER(SEARCH(TEXT(P$11,"mm/dd/yyyy"), INDIRECT("'Data Murid'!$E" &amp; ROW($E24)))), "✔", ""))</f>
        <v>#REF!</v>
      </c>
      <c r="Q31" s="44" t="e" cm="1">
        <f t="array" aca="1" ref="Q31" ca="1">IF(OR(Q$11="", INDIRECT("'Data Murid'!$E" &amp; ROW($E24))=""), "", IF(ISNUMBER(SEARCH(TEXT(Q$11,"mm/dd/yyyy"), INDIRECT("'Data Murid'!$E" &amp; ROW($E24)))), "✔", ""))</f>
        <v>#REF!</v>
      </c>
      <c r="R31" s="44" t="e" cm="1">
        <f t="array" aca="1" ref="R31" ca="1">IF(OR(R$11="", INDIRECT("'Data Murid'!$E" &amp; ROW($E24))=""), "", IF(ISNUMBER(SEARCH(TEXT(R$11,"mm/dd/yyyy"), INDIRECT("'Data Murid'!$E" &amp; ROW($E24)))), "✔", ""))</f>
        <v>#REF!</v>
      </c>
      <c r="S31" s="44" t="e" cm="1">
        <f t="array" aca="1" ref="S31" ca="1">IF(OR(S$11="", INDIRECT("'Data Murid'!$E" &amp; ROW($E24))=""), "", IF(ISNUMBER(SEARCH(TEXT(S$11,"mm/dd/yyyy"), INDIRECT("'Data Murid'!$E" &amp; ROW($E24)))), "✔", ""))</f>
        <v>#REF!</v>
      </c>
      <c r="T31" s="44" t="e" cm="1">
        <f t="array" aca="1" ref="T31" ca="1">IF(OR(T$11="", INDIRECT("'Data Murid'!$E" &amp; ROW($E24))=""), "", IF(ISNUMBER(SEARCH(TEXT(T$11,"mm/dd/yyyy"), INDIRECT("'Data Murid'!$E" &amp; ROW($E24)))), "✔", ""))</f>
        <v>#REF!</v>
      </c>
      <c r="U31" s="44" t="e" cm="1">
        <f t="array" aca="1" ref="U31" ca="1">IF(OR(U$11="", INDIRECT("'Data Murid'!$E" &amp; ROW($E24))=""), "", IF(ISNUMBER(SEARCH(TEXT(U$11,"mm/dd/yyyy"), INDIRECT("'Data Murid'!$E" &amp; ROW($E24)))), "✔", ""))</f>
        <v>#REF!</v>
      </c>
      <c r="V31" s="44" t="e" cm="1">
        <f t="array" aca="1" ref="V31" ca="1">IF(OR(V$11="", INDIRECT("'Data Murid'!$E" &amp; ROW($E24))=""), "", IF(ISNUMBER(SEARCH(TEXT(V$11,"mm/dd/yyyy"), INDIRECT("'Data Murid'!$E" &amp; ROW($E24)))), "✔", ""))</f>
        <v>#REF!</v>
      </c>
      <c r="W31" s="44" t="e" cm="1">
        <f t="array" aca="1" ref="W31" ca="1">IF(OR(W$11="", INDIRECT("'Data Murid'!$E" &amp; ROW($E24))=""), "", IF(ISNUMBER(SEARCH(TEXT(W$11,"mm/dd/yyyy"), INDIRECT("'Data Murid'!$E" &amp; ROW($E24)))), "✔", ""))</f>
        <v>#REF!</v>
      </c>
      <c r="X31" s="44" t="e" cm="1">
        <f t="array" aca="1" ref="X31" ca="1">IF(OR(X$11="", INDIRECT("'Data Murid'!$E" &amp; ROW($E24))=""), "", IF(ISNUMBER(SEARCH(TEXT(X$11,"mm/dd/yyyy"), INDIRECT("'Data Murid'!$E" &amp; ROW($E24)))), "✔", ""))</f>
        <v>#REF!</v>
      </c>
      <c r="Y31" s="44" t="e" cm="1">
        <f t="array" aca="1" ref="Y31" ca="1">IF(OR(Y$11="", INDIRECT("'Data Murid'!$E" &amp; ROW($E24))=""), "", IF(ISNUMBER(SEARCH(TEXT(Y$11,"mm/dd/yyyy"), INDIRECT("'Data Murid'!$E" &amp; ROW($E24)))), "✔", ""))</f>
        <v>#REF!</v>
      </c>
      <c r="Z31" s="44" t="e" cm="1">
        <f t="array" aca="1" ref="Z31" ca="1">IF(OR(Z$11="", INDIRECT("'Data Murid'!$E" &amp; ROW($E24))=""), "", IF(ISNUMBER(SEARCH(TEXT(Z$11,"mm/dd/yyyy"), INDIRECT("'Data Murid'!$E" &amp; ROW($E24)))), "✔", ""))</f>
        <v>#REF!</v>
      </c>
      <c r="AA31" s="44" t="e" cm="1">
        <f t="array" aca="1" ref="AA31" ca="1">IF(OR(AA$11="", INDIRECT("'Data Murid'!$E" &amp; ROW($E24))=""), "", IF(ISNUMBER(SEARCH(TEXT(AA$11,"mm/dd/yyyy"), INDIRECT("'Data Murid'!$E" &amp; ROW($E24)))), "✔", ""))</f>
        <v>#REF!</v>
      </c>
      <c r="AB31" s="44" t="e" cm="1">
        <f t="array" aca="1" ref="AB31" ca="1">IF(OR(AB$11="", INDIRECT("'Data Murid'!$E" &amp; ROW($E24))=""), "", IF(ISNUMBER(SEARCH(TEXT(AB$11,"mm/dd/yyyy"), INDIRECT("'Data Murid'!$E" &amp; ROW($E24)))), "✔", ""))</f>
        <v>#REF!</v>
      </c>
      <c r="AC31" s="44" t="e" cm="1">
        <f t="array" aca="1" ref="AC31" ca="1">IF(OR(AC$11="", INDIRECT("'Data Murid'!$E" &amp; ROW($E24))=""), "", IF(ISNUMBER(SEARCH(TEXT(AC$11,"mm/dd/yyyy"), INDIRECT("'Data Murid'!$E" &amp; ROW($E24)))), "✔", ""))</f>
        <v>#REF!</v>
      </c>
      <c r="AD31" s="44" t="e" cm="1">
        <f t="array" aca="1" ref="AD31" ca="1">IF(OR(AD$11="", INDIRECT("'Data Murid'!$E" &amp; ROW($E24))=""), "", IF(ISNUMBER(SEARCH(TEXT(AD$11,"mm/dd/yyyy"), INDIRECT("'Data Murid'!$E" &amp; ROW($E24)))), "✔", ""))</f>
        <v>#REF!</v>
      </c>
      <c r="AE31" s="44" t="e" cm="1">
        <f t="array" aca="1" ref="AE31" ca="1">IF(OR(AE$11="", INDIRECT("'Data Murid'!$E" &amp; ROW($E24))=""), "", IF(ISNUMBER(SEARCH(TEXT(AE$11,"mm/dd/yyyy"), INDIRECT("'Data Murid'!$E" &amp; ROW($E24)))), "✔", ""))</f>
        <v>#REF!</v>
      </c>
      <c r="AF31" s="44" t="e" cm="1">
        <f t="array" aca="1" ref="AF31" ca="1">IF(OR(AF$11="", INDIRECT("'Data Murid'!$E" &amp; ROW($E24))=""), "", IF(ISNUMBER(SEARCH(TEXT(AF$11,"mm/dd/yyyy"), INDIRECT("'Data Murid'!$E" &amp; ROW($E24)))), "✔", ""))</f>
        <v>#REF!</v>
      </c>
      <c r="AG31" s="44" t="e" cm="1">
        <f t="array" aca="1" ref="AG31" ca="1">IF(OR(AG$11="", INDIRECT("'Data Murid'!$E" &amp; ROW($E24))=""), "", IF(ISNUMBER(SEARCH(TEXT(AG$11,"mm/dd/yyyy"), INDIRECT("'Data Murid'!$E" &amp; ROW($E24)))), "✔", ""))</f>
        <v>#REF!</v>
      </c>
      <c r="AH31" s="44" t="e" cm="1">
        <f t="array" aca="1" ref="AH31" ca="1">IF(OR(AH$11="", INDIRECT("'Data Murid'!$E" &amp; ROW($E24))=""), "", IF(ISNUMBER(SEARCH(TEXT(AH$11,"mm/dd/yyyy"), INDIRECT("'Data Murid'!$E" &amp; ROW($E24)))), "✔", ""))</f>
        <v>#REF!</v>
      </c>
      <c r="AI31" s="44" t="e" cm="1">
        <f t="array" aca="1" ref="AI31" ca="1">IF(OR(AI$11="", INDIRECT("'Data Murid'!$E" &amp; ROW($E24))=""), "", IF(ISNUMBER(SEARCH(TEXT(AI$11,"mm/dd/yyyy"), INDIRECT("'Data Murid'!$E" &amp; ROW($E24)))), "✔", ""))</f>
        <v>#REF!</v>
      </c>
      <c r="AJ31" s="40">
        <f t="shared" ca="1" si="2"/>
        <v>0</v>
      </c>
    </row>
    <row r="32" spans="1:39" ht="14.25" customHeight="1" x14ac:dyDescent="0.25">
      <c r="A32" s="27">
        <v>18</v>
      </c>
      <c r="B32" s="25" t="e">
        <f ca="1">'rekap absensi seluruhnya'!B37</f>
        <v>#REF!</v>
      </c>
      <c r="C32" s="52" t="e">
        <f ca="1">'rekap absensi seluruhnya'!C37</f>
        <v>#REF!</v>
      </c>
      <c r="D32" s="25" t="e">
        <f ca="1">'rekap absensi seluruhnya'!D37</f>
        <v>#REF!</v>
      </c>
      <c r="E32" s="44" t="e" cm="1">
        <f t="array" aca="1" ref="E32" ca="1">IF(OR(E$11="", INDIRECT("'Data Murid'!$E" &amp; ROW($E25))=""), "", IF(ISNUMBER(SEARCH(TEXT(E$11,"mm/dd/yyyy"), INDIRECT("'Data Murid'!$E" &amp; ROW($E25)))), "✔", ""))</f>
        <v>#REF!</v>
      </c>
      <c r="F32" s="44" t="e" cm="1">
        <f t="array" aca="1" ref="F32" ca="1">IF(OR(F$11="", INDIRECT("'Data Murid'!$E" &amp; ROW($E25))=""), "", IF(ISNUMBER(SEARCH(TEXT(F$11,"mm/dd/yyyy"), INDIRECT("'Data Murid'!$E" &amp; ROW($E25)))), "✔", ""))</f>
        <v>#REF!</v>
      </c>
      <c r="G32" s="44" t="e" cm="1">
        <f t="array" aca="1" ref="G32" ca="1">IF(OR(G$11="", INDIRECT("'Data Murid'!$E" &amp; ROW($E25))=""), "", IF(ISNUMBER(SEARCH(TEXT(G$11,"mm/dd/yyyy"), INDIRECT("'Data Murid'!$E" &amp; ROW($E25)))), "✔", ""))</f>
        <v>#REF!</v>
      </c>
      <c r="H32" s="44" t="e" cm="1">
        <f t="array" aca="1" ref="H32" ca="1">IF(OR(H$11="", INDIRECT("'Data Murid'!$E" &amp; ROW($E25))=""), "", IF(ISNUMBER(SEARCH(TEXT(H$11,"mm/dd/yyyy"), INDIRECT("'Data Murid'!$E" &amp; ROW($E25)))), "✔", ""))</f>
        <v>#REF!</v>
      </c>
      <c r="I32" s="44" t="e" cm="1">
        <f t="array" aca="1" ref="I32" ca="1">IF(OR(I$11="", INDIRECT("'Data Murid'!$E" &amp; ROW($E25))=""), "", IF(ISNUMBER(SEARCH(TEXT(I$11,"mm/dd/yyyy"), INDIRECT("'Data Murid'!$E" &amp; ROW($E25)))), "✔", ""))</f>
        <v>#REF!</v>
      </c>
      <c r="J32" s="44" t="e" cm="1">
        <f t="array" aca="1" ref="J32" ca="1">IF(OR(J$11="", INDIRECT("'Data Murid'!$E" &amp; ROW($E25))=""), "", IF(ISNUMBER(SEARCH(TEXT(J$11,"mm/dd/yyyy"), INDIRECT("'Data Murid'!$E" &amp; ROW($E25)))), "✔", ""))</f>
        <v>#REF!</v>
      </c>
      <c r="K32" s="44" t="e" cm="1">
        <f t="array" aca="1" ref="K32" ca="1">IF(OR(K$11="", INDIRECT("'Data Murid'!$E" &amp; ROW($E25))=""), "", IF(ISNUMBER(SEARCH(TEXT(K$11,"mm/dd/yyyy"), INDIRECT("'Data Murid'!$E" &amp; ROW($E25)))), "✔", ""))</f>
        <v>#REF!</v>
      </c>
      <c r="L32" s="44" t="e" cm="1">
        <f t="array" aca="1" ref="L32" ca="1">IF(OR(L$11="", INDIRECT("'Data Murid'!$E" &amp; ROW($E25))=""), "", IF(ISNUMBER(SEARCH(TEXT(L$11,"mm/dd/yyyy"), INDIRECT("'Data Murid'!$E" &amp; ROW($E25)))), "✔", ""))</f>
        <v>#REF!</v>
      </c>
      <c r="M32" s="44" t="e" cm="1">
        <f t="array" aca="1" ref="M32" ca="1">IF(OR(M$11="", INDIRECT("'Data Murid'!$E" &amp; ROW($E25))=""), "", IF(ISNUMBER(SEARCH(TEXT(M$11,"mm/dd/yyyy"), INDIRECT("'Data Murid'!$E" &amp; ROW($E25)))), "✔", ""))</f>
        <v>#REF!</v>
      </c>
      <c r="N32" s="44" t="e" cm="1">
        <f t="array" aca="1" ref="N32" ca="1">IF(OR(N$11="", INDIRECT("'Data Murid'!$E" &amp; ROW($E25))=""), "", IF(ISNUMBER(SEARCH(TEXT(N$11,"mm/dd/yyyy"), INDIRECT("'Data Murid'!$E" &amp; ROW($E25)))), "✔", ""))</f>
        <v>#REF!</v>
      </c>
      <c r="O32" s="44" t="e" cm="1">
        <f t="array" aca="1" ref="O32" ca="1">IF(OR(O$11="", INDIRECT("'Data Murid'!$E" &amp; ROW($E25))=""), "", IF(ISNUMBER(SEARCH(TEXT(O$11,"mm/dd/yyyy"), INDIRECT("'Data Murid'!$E" &amp; ROW($E25)))), "✔", ""))</f>
        <v>#REF!</v>
      </c>
      <c r="P32" s="44" t="e" cm="1">
        <f t="array" aca="1" ref="P32" ca="1">IF(OR(P$11="", INDIRECT("'Data Murid'!$E" &amp; ROW($E25))=""), "", IF(ISNUMBER(SEARCH(TEXT(P$11,"mm/dd/yyyy"), INDIRECT("'Data Murid'!$E" &amp; ROW($E25)))), "✔", ""))</f>
        <v>#REF!</v>
      </c>
      <c r="Q32" s="44" t="e" cm="1">
        <f t="array" aca="1" ref="Q32" ca="1">IF(OR(Q$11="", INDIRECT("'Data Murid'!$E" &amp; ROW($E25))=""), "", IF(ISNUMBER(SEARCH(TEXT(Q$11,"mm/dd/yyyy"), INDIRECT("'Data Murid'!$E" &amp; ROW($E25)))), "✔", ""))</f>
        <v>#REF!</v>
      </c>
      <c r="R32" s="44" t="e" cm="1">
        <f t="array" aca="1" ref="R32" ca="1">IF(OR(R$11="", INDIRECT("'Data Murid'!$E" &amp; ROW($E25))=""), "", IF(ISNUMBER(SEARCH(TEXT(R$11,"mm/dd/yyyy"), INDIRECT("'Data Murid'!$E" &amp; ROW($E25)))), "✔", ""))</f>
        <v>#REF!</v>
      </c>
      <c r="S32" s="44" t="e" cm="1">
        <f t="array" aca="1" ref="S32" ca="1">IF(OR(S$11="", INDIRECT("'Data Murid'!$E" &amp; ROW($E25))=""), "", IF(ISNUMBER(SEARCH(TEXT(S$11,"mm/dd/yyyy"), INDIRECT("'Data Murid'!$E" &amp; ROW($E25)))), "✔", ""))</f>
        <v>#REF!</v>
      </c>
      <c r="T32" s="44" t="e" cm="1">
        <f t="array" aca="1" ref="T32" ca="1">IF(OR(T$11="", INDIRECT("'Data Murid'!$E" &amp; ROW($E25))=""), "", IF(ISNUMBER(SEARCH(TEXT(T$11,"mm/dd/yyyy"), INDIRECT("'Data Murid'!$E" &amp; ROW($E25)))), "✔", ""))</f>
        <v>#REF!</v>
      </c>
      <c r="U32" s="44" t="e" cm="1">
        <f t="array" aca="1" ref="U32" ca="1">IF(OR(U$11="", INDIRECT("'Data Murid'!$E" &amp; ROW($E25))=""), "", IF(ISNUMBER(SEARCH(TEXT(U$11,"mm/dd/yyyy"), INDIRECT("'Data Murid'!$E" &amp; ROW($E25)))), "✔", ""))</f>
        <v>#REF!</v>
      </c>
      <c r="V32" s="44" t="e" cm="1">
        <f t="array" aca="1" ref="V32" ca="1">IF(OR(V$11="", INDIRECT("'Data Murid'!$E" &amp; ROW($E25))=""), "", IF(ISNUMBER(SEARCH(TEXT(V$11,"mm/dd/yyyy"), INDIRECT("'Data Murid'!$E" &amp; ROW($E25)))), "✔", ""))</f>
        <v>#REF!</v>
      </c>
      <c r="W32" s="44" t="e" cm="1">
        <f t="array" aca="1" ref="W32" ca="1">IF(OR(W$11="", INDIRECT("'Data Murid'!$E" &amp; ROW($E25))=""), "", IF(ISNUMBER(SEARCH(TEXT(W$11,"mm/dd/yyyy"), INDIRECT("'Data Murid'!$E" &amp; ROW($E25)))), "✔", ""))</f>
        <v>#REF!</v>
      </c>
      <c r="X32" s="44" t="e" cm="1">
        <f t="array" aca="1" ref="X32" ca="1">IF(OR(X$11="", INDIRECT("'Data Murid'!$E" &amp; ROW($E25))=""), "", IF(ISNUMBER(SEARCH(TEXT(X$11,"mm/dd/yyyy"), INDIRECT("'Data Murid'!$E" &amp; ROW($E25)))), "✔", ""))</f>
        <v>#REF!</v>
      </c>
      <c r="Y32" s="44" t="e" cm="1">
        <f t="array" aca="1" ref="Y32" ca="1">IF(OR(Y$11="", INDIRECT("'Data Murid'!$E" &amp; ROW($E25))=""), "", IF(ISNUMBER(SEARCH(TEXT(Y$11,"mm/dd/yyyy"), INDIRECT("'Data Murid'!$E" &amp; ROW($E25)))), "✔", ""))</f>
        <v>#REF!</v>
      </c>
      <c r="Z32" s="44" t="e" cm="1">
        <f t="array" aca="1" ref="Z32" ca="1">IF(OR(Z$11="", INDIRECT("'Data Murid'!$E" &amp; ROW($E25))=""), "", IF(ISNUMBER(SEARCH(TEXT(Z$11,"mm/dd/yyyy"), INDIRECT("'Data Murid'!$E" &amp; ROW($E25)))), "✔", ""))</f>
        <v>#REF!</v>
      </c>
      <c r="AA32" s="44" t="e" cm="1">
        <f t="array" aca="1" ref="AA32" ca="1">IF(OR(AA$11="", INDIRECT("'Data Murid'!$E" &amp; ROW($E25))=""), "", IF(ISNUMBER(SEARCH(TEXT(AA$11,"mm/dd/yyyy"), INDIRECT("'Data Murid'!$E" &amp; ROW($E25)))), "✔", ""))</f>
        <v>#REF!</v>
      </c>
      <c r="AB32" s="44" t="e" cm="1">
        <f t="array" aca="1" ref="AB32" ca="1">IF(OR(AB$11="", INDIRECT("'Data Murid'!$E" &amp; ROW($E25))=""), "", IF(ISNUMBER(SEARCH(TEXT(AB$11,"mm/dd/yyyy"), INDIRECT("'Data Murid'!$E" &amp; ROW($E25)))), "✔", ""))</f>
        <v>#REF!</v>
      </c>
      <c r="AC32" s="44" t="e" cm="1">
        <f t="array" aca="1" ref="AC32" ca="1">IF(OR(AC$11="", INDIRECT("'Data Murid'!$E" &amp; ROW($E25))=""), "", IF(ISNUMBER(SEARCH(TEXT(AC$11,"mm/dd/yyyy"), INDIRECT("'Data Murid'!$E" &amp; ROW($E25)))), "✔", ""))</f>
        <v>#REF!</v>
      </c>
      <c r="AD32" s="44" t="e" cm="1">
        <f t="array" aca="1" ref="AD32" ca="1">IF(OR(AD$11="", INDIRECT("'Data Murid'!$E" &amp; ROW($E25))=""), "", IF(ISNUMBER(SEARCH(TEXT(AD$11,"mm/dd/yyyy"), INDIRECT("'Data Murid'!$E" &amp; ROW($E25)))), "✔", ""))</f>
        <v>#REF!</v>
      </c>
      <c r="AE32" s="44" t="e" cm="1">
        <f t="array" aca="1" ref="AE32" ca="1">IF(OR(AE$11="", INDIRECT("'Data Murid'!$E" &amp; ROW($E25))=""), "", IF(ISNUMBER(SEARCH(TEXT(AE$11,"mm/dd/yyyy"), INDIRECT("'Data Murid'!$E" &amp; ROW($E25)))), "✔", ""))</f>
        <v>#REF!</v>
      </c>
      <c r="AF32" s="44" t="e" cm="1">
        <f t="array" aca="1" ref="AF32" ca="1">IF(OR(AF$11="", INDIRECT("'Data Murid'!$E" &amp; ROW($E25))=""), "", IF(ISNUMBER(SEARCH(TEXT(AF$11,"mm/dd/yyyy"), INDIRECT("'Data Murid'!$E" &amp; ROW($E25)))), "✔", ""))</f>
        <v>#REF!</v>
      </c>
      <c r="AG32" s="44" t="e" cm="1">
        <f t="array" aca="1" ref="AG32" ca="1">IF(OR(AG$11="", INDIRECT("'Data Murid'!$E" &amp; ROW($E25))=""), "", IF(ISNUMBER(SEARCH(TEXT(AG$11,"mm/dd/yyyy"), INDIRECT("'Data Murid'!$E" &amp; ROW($E25)))), "✔", ""))</f>
        <v>#REF!</v>
      </c>
      <c r="AH32" s="44" t="e" cm="1">
        <f t="array" aca="1" ref="AH32" ca="1">IF(OR(AH$11="", INDIRECT("'Data Murid'!$E" &amp; ROW($E25))=""), "", IF(ISNUMBER(SEARCH(TEXT(AH$11,"mm/dd/yyyy"), INDIRECT("'Data Murid'!$E" &amp; ROW($E25)))), "✔", ""))</f>
        <v>#REF!</v>
      </c>
      <c r="AI32" s="44" t="e" cm="1">
        <f t="array" aca="1" ref="AI32" ca="1">IF(OR(AI$11="", INDIRECT("'Data Murid'!$E" &amp; ROW($E25))=""), "", IF(ISNUMBER(SEARCH(TEXT(AI$11,"mm/dd/yyyy"), INDIRECT("'Data Murid'!$E" &amp; ROW($E25)))), "✔", ""))</f>
        <v>#REF!</v>
      </c>
      <c r="AJ32" s="40">
        <f t="shared" ca="1" si="2"/>
        <v>0</v>
      </c>
    </row>
    <row r="33" spans="1:36" ht="14.25" customHeight="1" x14ac:dyDescent="0.25">
      <c r="A33" s="27">
        <v>19</v>
      </c>
      <c r="B33" s="25" t="e">
        <f ca="1">'rekap absensi seluruhnya'!B38</f>
        <v>#REF!</v>
      </c>
      <c r="C33" s="52" t="e">
        <f ca="1">'rekap absensi seluruhnya'!C38</f>
        <v>#REF!</v>
      </c>
      <c r="D33" s="25" t="e">
        <f ca="1">'rekap absensi seluruhnya'!D38</f>
        <v>#REF!</v>
      </c>
      <c r="E33" s="44" t="e" cm="1">
        <f t="array" aca="1" ref="E33" ca="1">IF(OR(E$11="", INDIRECT("'Data Murid'!$E" &amp; ROW($E26))=""), "", IF(ISNUMBER(SEARCH(TEXT(E$11,"mm/dd/yyyy"), INDIRECT("'Data Murid'!$E" &amp; ROW($E26)))), "✔", ""))</f>
        <v>#REF!</v>
      </c>
      <c r="F33" s="44" t="e" cm="1">
        <f t="array" aca="1" ref="F33" ca="1">IF(OR(F$11="", INDIRECT("'Data Murid'!$E" &amp; ROW($E26))=""), "", IF(ISNUMBER(SEARCH(TEXT(F$11,"mm/dd/yyyy"), INDIRECT("'Data Murid'!$E" &amp; ROW($E26)))), "✔", ""))</f>
        <v>#REF!</v>
      </c>
      <c r="G33" s="44" t="e" cm="1">
        <f t="array" aca="1" ref="G33" ca="1">IF(OR(G$11="", INDIRECT("'Data Murid'!$E" &amp; ROW($E26))=""), "", IF(ISNUMBER(SEARCH(TEXT(G$11,"mm/dd/yyyy"), INDIRECT("'Data Murid'!$E" &amp; ROW($E26)))), "✔", ""))</f>
        <v>#REF!</v>
      </c>
      <c r="H33" s="44" t="e" cm="1">
        <f t="array" aca="1" ref="H33" ca="1">IF(OR(H$11="", INDIRECT("'Data Murid'!$E" &amp; ROW($E26))=""), "", IF(ISNUMBER(SEARCH(TEXT(H$11,"mm/dd/yyyy"), INDIRECT("'Data Murid'!$E" &amp; ROW($E26)))), "✔", ""))</f>
        <v>#REF!</v>
      </c>
      <c r="I33" s="44" t="e" cm="1">
        <f t="array" aca="1" ref="I33" ca="1">IF(OR(I$11="", INDIRECT("'Data Murid'!$E" &amp; ROW($E26))=""), "", IF(ISNUMBER(SEARCH(TEXT(I$11,"mm/dd/yyyy"), INDIRECT("'Data Murid'!$E" &amp; ROW($E26)))), "✔", ""))</f>
        <v>#REF!</v>
      </c>
      <c r="J33" s="44" t="e" cm="1">
        <f t="array" aca="1" ref="J33" ca="1">IF(OR(J$11="", INDIRECT("'Data Murid'!$E" &amp; ROW($E26))=""), "", IF(ISNUMBER(SEARCH(TEXT(J$11,"mm/dd/yyyy"), INDIRECT("'Data Murid'!$E" &amp; ROW($E26)))), "✔", ""))</f>
        <v>#REF!</v>
      </c>
      <c r="K33" s="44" t="e" cm="1">
        <f t="array" aca="1" ref="K33" ca="1">IF(OR(K$11="", INDIRECT("'Data Murid'!$E" &amp; ROW($E26))=""), "", IF(ISNUMBER(SEARCH(TEXT(K$11,"mm/dd/yyyy"), INDIRECT("'Data Murid'!$E" &amp; ROW($E26)))), "✔", ""))</f>
        <v>#REF!</v>
      </c>
      <c r="L33" s="44" t="e" cm="1">
        <f t="array" aca="1" ref="L33" ca="1">IF(OR(L$11="", INDIRECT("'Data Murid'!$E" &amp; ROW($E26))=""), "", IF(ISNUMBER(SEARCH(TEXT(L$11,"mm/dd/yyyy"), INDIRECT("'Data Murid'!$E" &amp; ROW($E26)))), "✔", ""))</f>
        <v>#REF!</v>
      </c>
      <c r="M33" s="44" t="e" cm="1">
        <f t="array" aca="1" ref="M33" ca="1">IF(OR(M$11="", INDIRECT("'Data Murid'!$E" &amp; ROW($E26))=""), "", IF(ISNUMBER(SEARCH(TEXT(M$11,"mm/dd/yyyy"), INDIRECT("'Data Murid'!$E" &amp; ROW($E26)))), "✔", ""))</f>
        <v>#REF!</v>
      </c>
      <c r="N33" s="44" t="e" cm="1">
        <f t="array" aca="1" ref="N33" ca="1">IF(OR(N$11="", INDIRECT("'Data Murid'!$E" &amp; ROW($E26))=""), "", IF(ISNUMBER(SEARCH(TEXT(N$11,"mm/dd/yyyy"), INDIRECT("'Data Murid'!$E" &amp; ROW($E26)))), "✔", ""))</f>
        <v>#REF!</v>
      </c>
      <c r="O33" s="44" t="e" cm="1">
        <f t="array" aca="1" ref="O33" ca="1">IF(OR(O$11="", INDIRECT("'Data Murid'!$E" &amp; ROW($E26))=""), "", IF(ISNUMBER(SEARCH(TEXT(O$11,"mm/dd/yyyy"), INDIRECT("'Data Murid'!$E" &amp; ROW($E26)))), "✔", ""))</f>
        <v>#REF!</v>
      </c>
      <c r="P33" s="44" t="e" cm="1">
        <f t="array" aca="1" ref="P33" ca="1">IF(OR(P$11="", INDIRECT("'Data Murid'!$E" &amp; ROW($E26))=""), "", IF(ISNUMBER(SEARCH(TEXT(P$11,"mm/dd/yyyy"), INDIRECT("'Data Murid'!$E" &amp; ROW($E26)))), "✔", ""))</f>
        <v>#REF!</v>
      </c>
      <c r="Q33" s="44" t="e" cm="1">
        <f t="array" aca="1" ref="Q33" ca="1">IF(OR(Q$11="", INDIRECT("'Data Murid'!$E" &amp; ROW($E26))=""), "", IF(ISNUMBER(SEARCH(TEXT(Q$11,"mm/dd/yyyy"), INDIRECT("'Data Murid'!$E" &amp; ROW($E26)))), "✔", ""))</f>
        <v>#REF!</v>
      </c>
      <c r="R33" s="44" t="e" cm="1">
        <f t="array" aca="1" ref="R33" ca="1">IF(OR(R$11="", INDIRECT("'Data Murid'!$E" &amp; ROW($E26))=""), "", IF(ISNUMBER(SEARCH(TEXT(R$11,"mm/dd/yyyy"), INDIRECT("'Data Murid'!$E" &amp; ROW($E26)))), "✔", ""))</f>
        <v>#REF!</v>
      </c>
      <c r="S33" s="44" t="e" cm="1">
        <f t="array" aca="1" ref="S33" ca="1">IF(OR(S$11="", INDIRECT("'Data Murid'!$E" &amp; ROW($E26))=""), "", IF(ISNUMBER(SEARCH(TEXT(S$11,"mm/dd/yyyy"), INDIRECT("'Data Murid'!$E" &amp; ROW($E26)))), "✔", ""))</f>
        <v>#REF!</v>
      </c>
      <c r="T33" s="44" t="e" cm="1">
        <f t="array" aca="1" ref="T33" ca="1">IF(OR(T$11="", INDIRECT("'Data Murid'!$E" &amp; ROW($E26))=""), "", IF(ISNUMBER(SEARCH(TEXT(T$11,"mm/dd/yyyy"), INDIRECT("'Data Murid'!$E" &amp; ROW($E26)))), "✔", ""))</f>
        <v>#REF!</v>
      </c>
      <c r="U33" s="44" t="e" cm="1">
        <f t="array" aca="1" ref="U33" ca="1">IF(OR(U$11="", INDIRECT("'Data Murid'!$E" &amp; ROW($E26))=""), "", IF(ISNUMBER(SEARCH(TEXT(U$11,"mm/dd/yyyy"), INDIRECT("'Data Murid'!$E" &amp; ROW($E26)))), "✔", ""))</f>
        <v>#REF!</v>
      </c>
      <c r="V33" s="44" t="e" cm="1">
        <f t="array" aca="1" ref="V33" ca="1">IF(OR(V$11="", INDIRECT("'Data Murid'!$E" &amp; ROW($E26))=""), "", IF(ISNUMBER(SEARCH(TEXT(V$11,"mm/dd/yyyy"), INDIRECT("'Data Murid'!$E" &amp; ROW($E26)))), "✔", ""))</f>
        <v>#REF!</v>
      </c>
      <c r="W33" s="44" t="e" cm="1">
        <f t="array" aca="1" ref="W33" ca="1">IF(OR(W$11="", INDIRECT("'Data Murid'!$E" &amp; ROW($E26))=""), "", IF(ISNUMBER(SEARCH(TEXT(W$11,"mm/dd/yyyy"), INDIRECT("'Data Murid'!$E" &amp; ROW($E26)))), "✔", ""))</f>
        <v>#REF!</v>
      </c>
      <c r="X33" s="44" t="e" cm="1">
        <f t="array" aca="1" ref="X33" ca="1">IF(OR(X$11="", INDIRECT("'Data Murid'!$E" &amp; ROW($E26))=""), "", IF(ISNUMBER(SEARCH(TEXT(X$11,"mm/dd/yyyy"), INDIRECT("'Data Murid'!$E" &amp; ROW($E26)))), "✔", ""))</f>
        <v>#REF!</v>
      </c>
      <c r="Y33" s="44" t="e" cm="1">
        <f t="array" aca="1" ref="Y33" ca="1">IF(OR(Y$11="", INDIRECT("'Data Murid'!$E" &amp; ROW($E26))=""), "", IF(ISNUMBER(SEARCH(TEXT(Y$11,"mm/dd/yyyy"), INDIRECT("'Data Murid'!$E" &amp; ROW($E26)))), "✔", ""))</f>
        <v>#REF!</v>
      </c>
      <c r="Z33" s="44" t="e" cm="1">
        <f t="array" aca="1" ref="Z33" ca="1">IF(OR(Z$11="", INDIRECT("'Data Murid'!$E" &amp; ROW($E26))=""), "", IF(ISNUMBER(SEARCH(TEXT(Z$11,"mm/dd/yyyy"), INDIRECT("'Data Murid'!$E" &amp; ROW($E26)))), "✔", ""))</f>
        <v>#REF!</v>
      </c>
      <c r="AA33" s="44" t="e" cm="1">
        <f t="array" aca="1" ref="AA33" ca="1">IF(OR(AA$11="", INDIRECT("'Data Murid'!$E" &amp; ROW($E26))=""), "", IF(ISNUMBER(SEARCH(TEXT(AA$11,"mm/dd/yyyy"), INDIRECT("'Data Murid'!$E" &amp; ROW($E26)))), "✔", ""))</f>
        <v>#REF!</v>
      </c>
      <c r="AB33" s="44" t="e" cm="1">
        <f t="array" aca="1" ref="AB33" ca="1">IF(OR(AB$11="", INDIRECT("'Data Murid'!$E" &amp; ROW($E26))=""), "", IF(ISNUMBER(SEARCH(TEXT(AB$11,"mm/dd/yyyy"), INDIRECT("'Data Murid'!$E" &amp; ROW($E26)))), "✔", ""))</f>
        <v>#REF!</v>
      </c>
      <c r="AC33" s="44" t="e" cm="1">
        <f t="array" aca="1" ref="AC33" ca="1">IF(OR(AC$11="", INDIRECT("'Data Murid'!$E" &amp; ROW($E26))=""), "", IF(ISNUMBER(SEARCH(TEXT(AC$11,"mm/dd/yyyy"), INDIRECT("'Data Murid'!$E" &amp; ROW($E26)))), "✔", ""))</f>
        <v>#REF!</v>
      </c>
      <c r="AD33" s="44" t="e" cm="1">
        <f t="array" aca="1" ref="AD33" ca="1">IF(OR(AD$11="", INDIRECT("'Data Murid'!$E" &amp; ROW($E26))=""), "", IF(ISNUMBER(SEARCH(TEXT(AD$11,"mm/dd/yyyy"), INDIRECT("'Data Murid'!$E" &amp; ROW($E26)))), "✔", ""))</f>
        <v>#REF!</v>
      </c>
      <c r="AE33" s="44" t="e" cm="1">
        <f t="array" aca="1" ref="AE33" ca="1">IF(OR(AE$11="", INDIRECT("'Data Murid'!$E" &amp; ROW($E26))=""), "", IF(ISNUMBER(SEARCH(TEXT(AE$11,"mm/dd/yyyy"), INDIRECT("'Data Murid'!$E" &amp; ROW($E26)))), "✔", ""))</f>
        <v>#REF!</v>
      </c>
      <c r="AF33" s="44" t="e" cm="1">
        <f t="array" aca="1" ref="AF33" ca="1">IF(OR(AF$11="", INDIRECT("'Data Murid'!$E" &amp; ROW($E26))=""), "", IF(ISNUMBER(SEARCH(TEXT(AF$11,"mm/dd/yyyy"), INDIRECT("'Data Murid'!$E" &amp; ROW($E26)))), "✔", ""))</f>
        <v>#REF!</v>
      </c>
      <c r="AG33" s="44" t="e" cm="1">
        <f t="array" aca="1" ref="AG33" ca="1">IF(OR(AG$11="", INDIRECT("'Data Murid'!$E" &amp; ROW($E26))=""), "", IF(ISNUMBER(SEARCH(TEXT(AG$11,"mm/dd/yyyy"), INDIRECT("'Data Murid'!$E" &amp; ROW($E26)))), "✔", ""))</f>
        <v>#REF!</v>
      </c>
      <c r="AH33" s="44" t="e" cm="1">
        <f t="array" aca="1" ref="AH33" ca="1">IF(OR(AH$11="", INDIRECT("'Data Murid'!$E" &amp; ROW($E26))=""), "", IF(ISNUMBER(SEARCH(TEXT(AH$11,"mm/dd/yyyy"), INDIRECT("'Data Murid'!$E" &amp; ROW($E26)))), "✔", ""))</f>
        <v>#REF!</v>
      </c>
      <c r="AI33" s="44" t="e" cm="1">
        <f t="array" aca="1" ref="AI33" ca="1">IF(OR(AI$11="", INDIRECT("'Data Murid'!$E" &amp; ROW($E26))=""), "", IF(ISNUMBER(SEARCH(TEXT(AI$11,"mm/dd/yyyy"), INDIRECT("'Data Murid'!$E" &amp; ROW($E26)))), "✔", ""))</f>
        <v>#REF!</v>
      </c>
      <c r="AJ33" s="40">
        <f t="shared" ca="1" si="2"/>
        <v>0</v>
      </c>
    </row>
    <row r="34" spans="1:36" ht="14.25" customHeight="1" x14ac:dyDescent="0.25">
      <c r="A34" s="27">
        <v>20</v>
      </c>
      <c r="B34" s="25" t="e">
        <f ca="1">'rekap absensi seluruhnya'!B39</f>
        <v>#REF!</v>
      </c>
      <c r="C34" s="52" t="e">
        <f ca="1">'rekap absensi seluruhnya'!C39</f>
        <v>#REF!</v>
      </c>
      <c r="D34" s="25" t="e">
        <f ca="1">'rekap absensi seluruhnya'!D39</f>
        <v>#REF!</v>
      </c>
      <c r="E34" s="44" t="e" cm="1">
        <f t="array" aca="1" ref="E34" ca="1">IF(OR(E$11="", INDIRECT("'Data Murid'!$E" &amp; ROW($E27))=""), "", IF(ISNUMBER(SEARCH(TEXT(E$11,"mm/dd/yyyy"), INDIRECT("'Data Murid'!$E" &amp; ROW($E27)))), "✔", ""))</f>
        <v>#REF!</v>
      </c>
      <c r="F34" s="44" t="e" cm="1">
        <f t="array" aca="1" ref="F34" ca="1">IF(OR(F$11="", INDIRECT("'Data Murid'!$E" &amp; ROW($E27))=""), "", IF(ISNUMBER(SEARCH(TEXT(F$11,"mm/dd/yyyy"), INDIRECT("'Data Murid'!$E" &amp; ROW($E27)))), "✔", ""))</f>
        <v>#REF!</v>
      </c>
      <c r="G34" s="44" t="e" cm="1">
        <f t="array" aca="1" ref="G34" ca="1">IF(OR(G$11="", INDIRECT("'Data Murid'!$E" &amp; ROW($E27))=""), "", IF(ISNUMBER(SEARCH(TEXT(G$11,"mm/dd/yyyy"), INDIRECT("'Data Murid'!$E" &amp; ROW($E27)))), "✔", ""))</f>
        <v>#REF!</v>
      </c>
      <c r="H34" s="44" t="e" cm="1">
        <f t="array" aca="1" ref="H34" ca="1">IF(OR(H$11="", INDIRECT("'Data Murid'!$E" &amp; ROW($E27))=""), "", IF(ISNUMBER(SEARCH(TEXT(H$11,"mm/dd/yyyy"), INDIRECT("'Data Murid'!$E" &amp; ROW($E27)))), "✔", ""))</f>
        <v>#REF!</v>
      </c>
      <c r="I34" s="44" t="e" cm="1">
        <f t="array" aca="1" ref="I34" ca="1">IF(OR(I$11="", INDIRECT("'Data Murid'!$E" &amp; ROW($E27))=""), "", IF(ISNUMBER(SEARCH(TEXT(I$11,"mm/dd/yyyy"), INDIRECT("'Data Murid'!$E" &amp; ROW($E27)))), "✔", ""))</f>
        <v>#REF!</v>
      </c>
      <c r="J34" s="44" t="e" cm="1">
        <f t="array" aca="1" ref="J34" ca="1">IF(OR(J$11="", INDIRECT("'Data Murid'!$E" &amp; ROW($E27))=""), "", IF(ISNUMBER(SEARCH(TEXT(J$11,"mm/dd/yyyy"), INDIRECT("'Data Murid'!$E" &amp; ROW($E27)))), "✔", ""))</f>
        <v>#REF!</v>
      </c>
      <c r="K34" s="44" t="e" cm="1">
        <f t="array" aca="1" ref="K34" ca="1">IF(OR(K$11="", INDIRECT("'Data Murid'!$E" &amp; ROW($E27))=""), "", IF(ISNUMBER(SEARCH(TEXT(K$11,"mm/dd/yyyy"), INDIRECT("'Data Murid'!$E" &amp; ROW($E27)))), "✔", ""))</f>
        <v>#REF!</v>
      </c>
      <c r="L34" s="44" t="e" cm="1">
        <f t="array" aca="1" ref="L34" ca="1">IF(OR(L$11="", INDIRECT("'Data Murid'!$E" &amp; ROW($E27))=""), "", IF(ISNUMBER(SEARCH(TEXT(L$11,"mm/dd/yyyy"), INDIRECT("'Data Murid'!$E" &amp; ROW($E27)))), "✔", ""))</f>
        <v>#REF!</v>
      </c>
      <c r="M34" s="44" t="e" cm="1">
        <f t="array" aca="1" ref="M34" ca="1">IF(OR(M$11="", INDIRECT("'Data Murid'!$E" &amp; ROW($E27))=""), "", IF(ISNUMBER(SEARCH(TEXT(M$11,"mm/dd/yyyy"), INDIRECT("'Data Murid'!$E" &amp; ROW($E27)))), "✔", ""))</f>
        <v>#REF!</v>
      </c>
      <c r="N34" s="44" t="e" cm="1">
        <f t="array" aca="1" ref="N34" ca="1">IF(OR(N$11="", INDIRECT("'Data Murid'!$E" &amp; ROW($E27))=""), "", IF(ISNUMBER(SEARCH(TEXT(N$11,"mm/dd/yyyy"), INDIRECT("'Data Murid'!$E" &amp; ROW($E27)))), "✔", ""))</f>
        <v>#REF!</v>
      </c>
      <c r="O34" s="44" t="e" cm="1">
        <f t="array" aca="1" ref="O34" ca="1">IF(OR(O$11="", INDIRECT("'Data Murid'!$E" &amp; ROW($E27))=""), "", IF(ISNUMBER(SEARCH(TEXT(O$11,"mm/dd/yyyy"), INDIRECT("'Data Murid'!$E" &amp; ROW($E27)))), "✔", ""))</f>
        <v>#REF!</v>
      </c>
      <c r="P34" s="44" t="e" cm="1">
        <f t="array" aca="1" ref="P34" ca="1">IF(OR(P$11="", INDIRECT("'Data Murid'!$E" &amp; ROW($E27))=""), "", IF(ISNUMBER(SEARCH(TEXT(P$11,"mm/dd/yyyy"), INDIRECT("'Data Murid'!$E" &amp; ROW($E27)))), "✔", ""))</f>
        <v>#REF!</v>
      </c>
      <c r="Q34" s="44" t="e" cm="1">
        <f t="array" aca="1" ref="Q34" ca="1">IF(OR(Q$11="", INDIRECT("'Data Murid'!$E" &amp; ROW($E27))=""), "", IF(ISNUMBER(SEARCH(TEXT(Q$11,"mm/dd/yyyy"), INDIRECT("'Data Murid'!$E" &amp; ROW($E27)))), "✔", ""))</f>
        <v>#REF!</v>
      </c>
      <c r="R34" s="44" t="e" cm="1">
        <f t="array" aca="1" ref="R34" ca="1">IF(OR(R$11="", INDIRECT("'Data Murid'!$E" &amp; ROW($E27))=""), "", IF(ISNUMBER(SEARCH(TEXT(R$11,"mm/dd/yyyy"), INDIRECT("'Data Murid'!$E" &amp; ROW($E27)))), "✔", ""))</f>
        <v>#REF!</v>
      </c>
      <c r="S34" s="44" t="e" cm="1">
        <f t="array" aca="1" ref="S34" ca="1">IF(OR(S$11="", INDIRECT("'Data Murid'!$E" &amp; ROW($E27))=""), "", IF(ISNUMBER(SEARCH(TEXT(S$11,"mm/dd/yyyy"), INDIRECT("'Data Murid'!$E" &amp; ROW($E27)))), "✔", ""))</f>
        <v>#REF!</v>
      </c>
      <c r="T34" s="44" t="e" cm="1">
        <f t="array" aca="1" ref="T34" ca="1">IF(OR(T$11="", INDIRECT("'Data Murid'!$E" &amp; ROW($E27))=""), "", IF(ISNUMBER(SEARCH(TEXT(T$11,"mm/dd/yyyy"), INDIRECT("'Data Murid'!$E" &amp; ROW($E27)))), "✔", ""))</f>
        <v>#REF!</v>
      </c>
      <c r="U34" s="44" t="e" cm="1">
        <f t="array" aca="1" ref="U34" ca="1">IF(OR(U$11="", INDIRECT("'Data Murid'!$E" &amp; ROW($E27))=""), "", IF(ISNUMBER(SEARCH(TEXT(U$11,"mm/dd/yyyy"), INDIRECT("'Data Murid'!$E" &amp; ROW($E27)))), "✔", ""))</f>
        <v>#REF!</v>
      </c>
      <c r="V34" s="44" t="e" cm="1">
        <f t="array" aca="1" ref="V34" ca="1">IF(OR(V$11="", INDIRECT("'Data Murid'!$E" &amp; ROW($E27))=""), "", IF(ISNUMBER(SEARCH(TEXT(V$11,"mm/dd/yyyy"), INDIRECT("'Data Murid'!$E" &amp; ROW($E27)))), "✔", ""))</f>
        <v>#REF!</v>
      </c>
      <c r="W34" s="44" t="e" cm="1">
        <f t="array" aca="1" ref="W34" ca="1">IF(OR(W$11="", INDIRECT("'Data Murid'!$E" &amp; ROW($E27))=""), "", IF(ISNUMBER(SEARCH(TEXT(W$11,"mm/dd/yyyy"), INDIRECT("'Data Murid'!$E" &amp; ROW($E27)))), "✔", ""))</f>
        <v>#REF!</v>
      </c>
      <c r="X34" s="44" t="e" cm="1">
        <f t="array" aca="1" ref="X34" ca="1">IF(OR(X$11="", INDIRECT("'Data Murid'!$E" &amp; ROW($E27))=""), "", IF(ISNUMBER(SEARCH(TEXT(X$11,"mm/dd/yyyy"), INDIRECT("'Data Murid'!$E" &amp; ROW($E27)))), "✔", ""))</f>
        <v>#REF!</v>
      </c>
      <c r="Y34" s="44" t="e" cm="1">
        <f t="array" aca="1" ref="Y34" ca="1">IF(OR(Y$11="", INDIRECT("'Data Murid'!$E" &amp; ROW($E27))=""), "", IF(ISNUMBER(SEARCH(TEXT(Y$11,"mm/dd/yyyy"), INDIRECT("'Data Murid'!$E" &amp; ROW($E27)))), "✔", ""))</f>
        <v>#REF!</v>
      </c>
      <c r="Z34" s="44" t="e" cm="1">
        <f t="array" aca="1" ref="Z34" ca="1">IF(OR(Z$11="", INDIRECT("'Data Murid'!$E" &amp; ROW($E27))=""), "", IF(ISNUMBER(SEARCH(TEXT(Z$11,"mm/dd/yyyy"), INDIRECT("'Data Murid'!$E" &amp; ROW($E27)))), "✔", ""))</f>
        <v>#REF!</v>
      </c>
      <c r="AA34" s="44" t="e" cm="1">
        <f t="array" aca="1" ref="AA34" ca="1">IF(OR(AA$11="", INDIRECT("'Data Murid'!$E" &amp; ROW($E27))=""), "", IF(ISNUMBER(SEARCH(TEXT(AA$11,"mm/dd/yyyy"), INDIRECT("'Data Murid'!$E" &amp; ROW($E27)))), "✔", ""))</f>
        <v>#REF!</v>
      </c>
      <c r="AB34" s="44" t="e" cm="1">
        <f t="array" aca="1" ref="AB34" ca="1">IF(OR(AB$11="", INDIRECT("'Data Murid'!$E" &amp; ROW($E27))=""), "", IF(ISNUMBER(SEARCH(TEXT(AB$11,"mm/dd/yyyy"), INDIRECT("'Data Murid'!$E" &amp; ROW($E27)))), "✔", ""))</f>
        <v>#REF!</v>
      </c>
      <c r="AC34" s="44" t="e" cm="1">
        <f t="array" aca="1" ref="AC34" ca="1">IF(OR(AC$11="", INDIRECT("'Data Murid'!$E" &amp; ROW($E27))=""), "", IF(ISNUMBER(SEARCH(TEXT(AC$11,"mm/dd/yyyy"), INDIRECT("'Data Murid'!$E" &amp; ROW($E27)))), "✔", ""))</f>
        <v>#REF!</v>
      </c>
      <c r="AD34" s="44" t="e" cm="1">
        <f t="array" aca="1" ref="AD34" ca="1">IF(OR(AD$11="", INDIRECT("'Data Murid'!$E" &amp; ROW($E27))=""), "", IF(ISNUMBER(SEARCH(TEXT(AD$11,"mm/dd/yyyy"), INDIRECT("'Data Murid'!$E" &amp; ROW($E27)))), "✔", ""))</f>
        <v>#REF!</v>
      </c>
      <c r="AE34" s="44" t="e" cm="1">
        <f t="array" aca="1" ref="AE34" ca="1">IF(OR(AE$11="", INDIRECT("'Data Murid'!$E" &amp; ROW($E27))=""), "", IF(ISNUMBER(SEARCH(TEXT(AE$11,"mm/dd/yyyy"), INDIRECT("'Data Murid'!$E" &amp; ROW($E27)))), "✔", ""))</f>
        <v>#REF!</v>
      </c>
      <c r="AF34" s="44" t="e" cm="1">
        <f t="array" aca="1" ref="AF34" ca="1">IF(OR(AF$11="", INDIRECT("'Data Murid'!$E" &amp; ROW($E27))=""), "", IF(ISNUMBER(SEARCH(TEXT(AF$11,"mm/dd/yyyy"), INDIRECT("'Data Murid'!$E" &amp; ROW($E27)))), "✔", ""))</f>
        <v>#REF!</v>
      </c>
      <c r="AG34" s="44" t="e" cm="1">
        <f t="array" aca="1" ref="AG34" ca="1">IF(OR(AG$11="", INDIRECT("'Data Murid'!$E" &amp; ROW($E27))=""), "", IF(ISNUMBER(SEARCH(TEXT(AG$11,"mm/dd/yyyy"), INDIRECT("'Data Murid'!$E" &amp; ROW($E27)))), "✔", ""))</f>
        <v>#REF!</v>
      </c>
      <c r="AH34" s="44" t="e" cm="1">
        <f t="array" aca="1" ref="AH34" ca="1">IF(OR(AH$11="", INDIRECT("'Data Murid'!$E" &amp; ROW($E27))=""), "", IF(ISNUMBER(SEARCH(TEXT(AH$11,"mm/dd/yyyy"), INDIRECT("'Data Murid'!$E" &amp; ROW($E27)))), "✔", ""))</f>
        <v>#REF!</v>
      </c>
      <c r="AI34" s="44" t="e" cm="1">
        <f t="array" aca="1" ref="AI34" ca="1">IF(OR(AI$11="", INDIRECT("'Data Murid'!$E" &amp; ROW($E27))=""), "", IF(ISNUMBER(SEARCH(TEXT(AI$11,"mm/dd/yyyy"), INDIRECT("'Data Murid'!$E" &amp; ROW($E27)))), "✔", ""))</f>
        <v>#REF!</v>
      </c>
      <c r="AJ34" s="40">
        <f t="shared" ca="1" si="2"/>
        <v>0</v>
      </c>
    </row>
    <row r="35" spans="1:36" ht="14.25" customHeight="1" x14ac:dyDescent="0.25">
      <c r="A35" s="27">
        <v>21</v>
      </c>
      <c r="B35" s="25" t="e">
        <f ca="1">'rekap absensi seluruhnya'!B40</f>
        <v>#REF!</v>
      </c>
      <c r="C35" s="52" t="e">
        <f ca="1">'rekap absensi seluruhnya'!C40</f>
        <v>#REF!</v>
      </c>
      <c r="D35" s="25" t="e">
        <f ca="1">'rekap absensi seluruhnya'!D40</f>
        <v>#REF!</v>
      </c>
      <c r="E35" s="44" t="e" cm="1">
        <f t="array" aca="1" ref="E35" ca="1">IF(OR(E$11="", INDIRECT("'Data Murid'!$E" &amp; ROW($E28))=""), "", IF(ISNUMBER(SEARCH(TEXT(E$11,"mm/dd/yyyy"), INDIRECT("'Data Murid'!$E" &amp; ROW($E28)))), "✔", ""))</f>
        <v>#REF!</v>
      </c>
      <c r="F35" s="44" t="e" cm="1">
        <f t="array" aca="1" ref="F35" ca="1">IF(OR(F$11="", INDIRECT("'Data Murid'!$E" &amp; ROW($E28))=""), "", IF(ISNUMBER(SEARCH(TEXT(F$11,"mm/dd/yyyy"), INDIRECT("'Data Murid'!$E" &amp; ROW($E28)))), "✔", ""))</f>
        <v>#REF!</v>
      </c>
      <c r="G35" s="44" t="e" cm="1">
        <f t="array" aca="1" ref="G35" ca="1">IF(OR(G$11="", INDIRECT("'Data Murid'!$E" &amp; ROW($E28))=""), "", IF(ISNUMBER(SEARCH(TEXT(G$11,"mm/dd/yyyy"), INDIRECT("'Data Murid'!$E" &amp; ROW($E28)))), "✔", ""))</f>
        <v>#REF!</v>
      </c>
      <c r="H35" s="44" t="e" cm="1">
        <f t="array" aca="1" ref="H35" ca="1">IF(OR(H$11="", INDIRECT("'Data Murid'!$E" &amp; ROW($E28))=""), "", IF(ISNUMBER(SEARCH(TEXT(H$11,"mm/dd/yyyy"), INDIRECT("'Data Murid'!$E" &amp; ROW($E28)))), "✔", ""))</f>
        <v>#REF!</v>
      </c>
      <c r="I35" s="44" t="e" cm="1">
        <f t="array" aca="1" ref="I35" ca="1">IF(OR(I$11="", INDIRECT("'Data Murid'!$E" &amp; ROW($E28))=""), "", IF(ISNUMBER(SEARCH(TEXT(I$11,"mm/dd/yyyy"), INDIRECT("'Data Murid'!$E" &amp; ROW($E28)))), "✔", ""))</f>
        <v>#REF!</v>
      </c>
      <c r="J35" s="44" t="e" cm="1">
        <f t="array" aca="1" ref="J35" ca="1">IF(OR(J$11="", INDIRECT("'Data Murid'!$E" &amp; ROW($E28))=""), "", IF(ISNUMBER(SEARCH(TEXT(J$11,"mm/dd/yyyy"), INDIRECT("'Data Murid'!$E" &amp; ROW($E28)))), "✔", ""))</f>
        <v>#REF!</v>
      </c>
      <c r="K35" s="44" t="e" cm="1">
        <f t="array" aca="1" ref="K35" ca="1">IF(OR(K$11="", INDIRECT("'Data Murid'!$E" &amp; ROW($E28))=""), "", IF(ISNUMBER(SEARCH(TEXT(K$11,"mm/dd/yyyy"), INDIRECT("'Data Murid'!$E" &amp; ROW($E28)))), "✔", ""))</f>
        <v>#REF!</v>
      </c>
      <c r="L35" s="44" t="e" cm="1">
        <f t="array" aca="1" ref="L35" ca="1">IF(OR(L$11="", INDIRECT("'Data Murid'!$E" &amp; ROW($E28))=""), "", IF(ISNUMBER(SEARCH(TEXT(L$11,"mm/dd/yyyy"), INDIRECT("'Data Murid'!$E" &amp; ROW($E28)))), "✔", ""))</f>
        <v>#REF!</v>
      </c>
      <c r="M35" s="44" t="e" cm="1">
        <f t="array" aca="1" ref="M35" ca="1">IF(OR(M$11="", INDIRECT("'Data Murid'!$E" &amp; ROW($E28))=""), "", IF(ISNUMBER(SEARCH(TEXT(M$11,"mm/dd/yyyy"), INDIRECT("'Data Murid'!$E" &amp; ROW($E28)))), "✔", ""))</f>
        <v>#REF!</v>
      </c>
      <c r="N35" s="44" t="e" cm="1">
        <f t="array" aca="1" ref="N35" ca="1">IF(OR(N$11="", INDIRECT("'Data Murid'!$E" &amp; ROW($E28))=""), "", IF(ISNUMBER(SEARCH(TEXT(N$11,"mm/dd/yyyy"), INDIRECT("'Data Murid'!$E" &amp; ROW($E28)))), "✔", ""))</f>
        <v>#REF!</v>
      </c>
      <c r="O35" s="44" t="e" cm="1">
        <f t="array" aca="1" ref="O35" ca="1">IF(OR(O$11="", INDIRECT("'Data Murid'!$E" &amp; ROW($E28))=""), "", IF(ISNUMBER(SEARCH(TEXT(O$11,"mm/dd/yyyy"), INDIRECT("'Data Murid'!$E" &amp; ROW($E28)))), "✔", ""))</f>
        <v>#REF!</v>
      </c>
      <c r="P35" s="44" t="e" cm="1">
        <f t="array" aca="1" ref="P35" ca="1">IF(OR(P$11="", INDIRECT("'Data Murid'!$E" &amp; ROW($E28))=""), "", IF(ISNUMBER(SEARCH(TEXT(P$11,"mm/dd/yyyy"), INDIRECT("'Data Murid'!$E" &amp; ROW($E28)))), "✔", ""))</f>
        <v>#REF!</v>
      </c>
      <c r="Q35" s="44" t="e" cm="1">
        <f t="array" aca="1" ref="Q35" ca="1">IF(OR(Q$11="", INDIRECT("'Data Murid'!$E" &amp; ROW($E28))=""), "", IF(ISNUMBER(SEARCH(TEXT(Q$11,"mm/dd/yyyy"), INDIRECT("'Data Murid'!$E" &amp; ROW($E28)))), "✔", ""))</f>
        <v>#REF!</v>
      </c>
      <c r="R35" s="44" t="e" cm="1">
        <f t="array" aca="1" ref="R35" ca="1">IF(OR(R$11="", INDIRECT("'Data Murid'!$E" &amp; ROW($E28))=""), "", IF(ISNUMBER(SEARCH(TEXT(R$11,"mm/dd/yyyy"), INDIRECT("'Data Murid'!$E" &amp; ROW($E28)))), "✔", ""))</f>
        <v>#REF!</v>
      </c>
      <c r="S35" s="44" t="e" cm="1">
        <f t="array" aca="1" ref="S35" ca="1">IF(OR(S$11="", INDIRECT("'Data Murid'!$E" &amp; ROW($E28))=""), "", IF(ISNUMBER(SEARCH(TEXT(S$11,"mm/dd/yyyy"), INDIRECT("'Data Murid'!$E" &amp; ROW($E28)))), "✔", ""))</f>
        <v>#REF!</v>
      </c>
      <c r="T35" s="44" t="e" cm="1">
        <f t="array" aca="1" ref="T35" ca="1">IF(OR(T$11="", INDIRECT("'Data Murid'!$E" &amp; ROW($E28))=""), "", IF(ISNUMBER(SEARCH(TEXT(T$11,"mm/dd/yyyy"), INDIRECT("'Data Murid'!$E" &amp; ROW($E28)))), "✔", ""))</f>
        <v>#REF!</v>
      </c>
      <c r="U35" s="44" t="e" cm="1">
        <f t="array" aca="1" ref="U35" ca="1">IF(OR(U$11="", INDIRECT("'Data Murid'!$E" &amp; ROW($E28))=""), "", IF(ISNUMBER(SEARCH(TEXT(U$11,"mm/dd/yyyy"), INDIRECT("'Data Murid'!$E" &amp; ROW($E28)))), "✔", ""))</f>
        <v>#REF!</v>
      </c>
      <c r="V35" s="44" t="e" cm="1">
        <f t="array" aca="1" ref="V35" ca="1">IF(OR(V$11="", INDIRECT("'Data Murid'!$E" &amp; ROW($E28))=""), "", IF(ISNUMBER(SEARCH(TEXT(V$11,"mm/dd/yyyy"), INDIRECT("'Data Murid'!$E" &amp; ROW($E28)))), "✔", ""))</f>
        <v>#REF!</v>
      </c>
      <c r="W35" s="44" t="e" cm="1">
        <f t="array" aca="1" ref="W35" ca="1">IF(OR(W$11="", INDIRECT("'Data Murid'!$E" &amp; ROW($E28))=""), "", IF(ISNUMBER(SEARCH(TEXT(W$11,"mm/dd/yyyy"), INDIRECT("'Data Murid'!$E" &amp; ROW($E28)))), "✔", ""))</f>
        <v>#REF!</v>
      </c>
      <c r="X35" s="44" t="e" cm="1">
        <f t="array" aca="1" ref="X35" ca="1">IF(OR(X$11="", INDIRECT("'Data Murid'!$E" &amp; ROW($E28))=""), "", IF(ISNUMBER(SEARCH(TEXT(X$11,"mm/dd/yyyy"), INDIRECT("'Data Murid'!$E" &amp; ROW($E28)))), "✔", ""))</f>
        <v>#REF!</v>
      </c>
      <c r="Y35" s="44" t="e" cm="1">
        <f t="array" aca="1" ref="Y35" ca="1">IF(OR(Y$11="", INDIRECT("'Data Murid'!$E" &amp; ROW($E28))=""), "", IF(ISNUMBER(SEARCH(TEXT(Y$11,"mm/dd/yyyy"), INDIRECT("'Data Murid'!$E" &amp; ROW($E28)))), "✔", ""))</f>
        <v>#REF!</v>
      </c>
      <c r="Z35" s="44" t="e" cm="1">
        <f t="array" aca="1" ref="Z35" ca="1">IF(OR(Z$11="", INDIRECT("'Data Murid'!$E" &amp; ROW($E28))=""), "", IF(ISNUMBER(SEARCH(TEXT(Z$11,"mm/dd/yyyy"), INDIRECT("'Data Murid'!$E" &amp; ROW($E28)))), "✔", ""))</f>
        <v>#REF!</v>
      </c>
      <c r="AA35" s="44" t="e" cm="1">
        <f t="array" aca="1" ref="AA35" ca="1">IF(OR(AA$11="", INDIRECT("'Data Murid'!$E" &amp; ROW($E28))=""), "", IF(ISNUMBER(SEARCH(TEXT(AA$11,"mm/dd/yyyy"), INDIRECT("'Data Murid'!$E" &amp; ROW($E28)))), "✔", ""))</f>
        <v>#REF!</v>
      </c>
      <c r="AB35" s="44" t="e" cm="1">
        <f t="array" aca="1" ref="AB35" ca="1">IF(OR(AB$11="", INDIRECT("'Data Murid'!$E" &amp; ROW($E28))=""), "", IF(ISNUMBER(SEARCH(TEXT(AB$11,"mm/dd/yyyy"), INDIRECT("'Data Murid'!$E" &amp; ROW($E28)))), "✔", ""))</f>
        <v>#REF!</v>
      </c>
      <c r="AC35" s="44" t="e" cm="1">
        <f t="array" aca="1" ref="AC35" ca="1">IF(OR(AC$11="", INDIRECT("'Data Murid'!$E" &amp; ROW($E28))=""), "", IF(ISNUMBER(SEARCH(TEXT(AC$11,"mm/dd/yyyy"), INDIRECT("'Data Murid'!$E" &amp; ROW($E28)))), "✔", ""))</f>
        <v>#REF!</v>
      </c>
      <c r="AD35" s="44" t="e" cm="1">
        <f t="array" aca="1" ref="AD35" ca="1">IF(OR(AD$11="", INDIRECT("'Data Murid'!$E" &amp; ROW($E28))=""), "", IF(ISNUMBER(SEARCH(TEXT(AD$11,"mm/dd/yyyy"), INDIRECT("'Data Murid'!$E" &amp; ROW($E28)))), "✔", ""))</f>
        <v>#REF!</v>
      </c>
      <c r="AE35" s="44" t="e" cm="1">
        <f t="array" aca="1" ref="AE35" ca="1">IF(OR(AE$11="", INDIRECT("'Data Murid'!$E" &amp; ROW($E28))=""), "", IF(ISNUMBER(SEARCH(TEXT(AE$11,"mm/dd/yyyy"), INDIRECT("'Data Murid'!$E" &amp; ROW($E28)))), "✔", ""))</f>
        <v>#REF!</v>
      </c>
      <c r="AF35" s="44" t="e" cm="1">
        <f t="array" aca="1" ref="AF35" ca="1">IF(OR(AF$11="", INDIRECT("'Data Murid'!$E" &amp; ROW($E28))=""), "", IF(ISNUMBER(SEARCH(TEXT(AF$11,"mm/dd/yyyy"), INDIRECT("'Data Murid'!$E" &amp; ROW($E28)))), "✔", ""))</f>
        <v>#REF!</v>
      </c>
      <c r="AG35" s="44" t="e" cm="1">
        <f t="array" aca="1" ref="AG35" ca="1">IF(OR(AG$11="", INDIRECT("'Data Murid'!$E" &amp; ROW($E28))=""), "", IF(ISNUMBER(SEARCH(TEXT(AG$11,"mm/dd/yyyy"), INDIRECT("'Data Murid'!$E" &amp; ROW($E28)))), "✔", ""))</f>
        <v>#REF!</v>
      </c>
      <c r="AH35" s="44" t="e" cm="1">
        <f t="array" aca="1" ref="AH35" ca="1">IF(OR(AH$11="", INDIRECT("'Data Murid'!$E" &amp; ROW($E28))=""), "", IF(ISNUMBER(SEARCH(TEXT(AH$11,"mm/dd/yyyy"), INDIRECT("'Data Murid'!$E" &amp; ROW($E28)))), "✔", ""))</f>
        <v>#REF!</v>
      </c>
      <c r="AI35" s="44" t="e" cm="1">
        <f t="array" aca="1" ref="AI35" ca="1">IF(OR(AI$11="", INDIRECT("'Data Murid'!$E" &amp; ROW($E28))=""), "", IF(ISNUMBER(SEARCH(TEXT(AI$11,"mm/dd/yyyy"), INDIRECT("'Data Murid'!$E" &amp; ROW($E28)))), "✔", ""))</f>
        <v>#REF!</v>
      </c>
      <c r="AJ35" s="40">
        <f t="shared" ca="1" si="2"/>
        <v>0</v>
      </c>
    </row>
    <row r="36" spans="1:36" ht="14.25" customHeight="1" x14ac:dyDescent="0.25">
      <c r="A36" s="27">
        <v>22</v>
      </c>
      <c r="B36" s="25" t="e">
        <f ca="1">'rekap absensi seluruhnya'!B41</f>
        <v>#REF!</v>
      </c>
      <c r="C36" s="52" t="e">
        <f ca="1">'rekap absensi seluruhnya'!C41</f>
        <v>#REF!</v>
      </c>
      <c r="D36" s="25" t="e">
        <f ca="1">'rekap absensi seluruhnya'!D41</f>
        <v>#REF!</v>
      </c>
      <c r="E36" s="44" t="e" cm="1">
        <f t="array" aca="1" ref="E36" ca="1">IF(OR(E$11="", INDIRECT("'Data Murid'!$E" &amp; ROW($E29))=""), "", IF(ISNUMBER(SEARCH(TEXT(E$11,"mm/dd/yyyy"), INDIRECT("'Data Murid'!$E" &amp; ROW($E29)))), "✔", ""))</f>
        <v>#REF!</v>
      </c>
      <c r="F36" s="44" t="e" cm="1">
        <f t="array" aca="1" ref="F36" ca="1">IF(OR(F$11="", INDIRECT("'Data Murid'!$E" &amp; ROW($E29))=""), "", IF(ISNUMBER(SEARCH(TEXT(F$11,"mm/dd/yyyy"), INDIRECT("'Data Murid'!$E" &amp; ROW($E29)))), "✔", ""))</f>
        <v>#REF!</v>
      </c>
      <c r="G36" s="44" t="e" cm="1">
        <f t="array" aca="1" ref="G36" ca="1">IF(OR(G$11="", INDIRECT("'Data Murid'!$E" &amp; ROW($E29))=""), "", IF(ISNUMBER(SEARCH(TEXT(G$11,"mm/dd/yyyy"), INDIRECT("'Data Murid'!$E" &amp; ROW($E29)))), "✔", ""))</f>
        <v>#REF!</v>
      </c>
      <c r="H36" s="44" t="e" cm="1">
        <f t="array" aca="1" ref="H36" ca="1">IF(OR(H$11="", INDIRECT("'Data Murid'!$E" &amp; ROW($E29))=""), "", IF(ISNUMBER(SEARCH(TEXT(H$11,"mm/dd/yyyy"), INDIRECT("'Data Murid'!$E" &amp; ROW($E29)))), "✔", ""))</f>
        <v>#REF!</v>
      </c>
      <c r="I36" s="44" t="e" cm="1">
        <f t="array" aca="1" ref="I36" ca="1">IF(OR(I$11="", INDIRECT("'Data Murid'!$E" &amp; ROW($E29))=""), "", IF(ISNUMBER(SEARCH(TEXT(I$11,"mm/dd/yyyy"), INDIRECT("'Data Murid'!$E" &amp; ROW($E29)))), "✔", ""))</f>
        <v>#REF!</v>
      </c>
      <c r="J36" s="44" t="e" cm="1">
        <f t="array" aca="1" ref="J36" ca="1">IF(OR(J$11="", INDIRECT("'Data Murid'!$E" &amp; ROW($E29))=""), "", IF(ISNUMBER(SEARCH(TEXT(J$11,"mm/dd/yyyy"), INDIRECT("'Data Murid'!$E" &amp; ROW($E29)))), "✔", ""))</f>
        <v>#REF!</v>
      </c>
      <c r="K36" s="44" t="e" cm="1">
        <f t="array" aca="1" ref="K36" ca="1">IF(OR(K$11="", INDIRECT("'Data Murid'!$E" &amp; ROW($E29))=""), "", IF(ISNUMBER(SEARCH(TEXT(K$11,"mm/dd/yyyy"), INDIRECT("'Data Murid'!$E" &amp; ROW($E29)))), "✔", ""))</f>
        <v>#REF!</v>
      </c>
      <c r="L36" s="44" t="e" cm="1">
        <f t="array" aca="1" ref="L36" ca="1">IF(OR(L$11="", INDIRECT("'Data Murid'!$E" &amp; ROW($E29))=""), "", IF(ISNUMBER(SEARCH(TEXT(L$11,"mm/dd/yyyy"), INDIRECT("'Data Murid'!$E" &amp; ROW($E29)))), "✔", ""))</f>
        <v>#REF!</v>
      </c>
      <c r="M36" s="44" t="e" cm="1">
        <f t="array" aca="1" ref="M36" ca="1">IF(OR(M$11="", INDIRECT("'Data Murid'!$E" &amp; ROW($E29))=""), "", IF(ISNUMBER(SEARCH(TEXT(M$11,"mm/dd/yyyy"), INDIRECT("'Data Murid'!$E" &amp; ROW($E29)))), "✔", ""))</f>
        <v>#REF!</v>
      </c>
      <c r="N36" s="44" t="e" cm="1">
        <f t="array" aca="1" ref="N36" ca="1">IF(OR(N$11="", INDIRECT("'Data Murid'!$E" &amp; ROW($E29))=""), "", IF(ISNUMBER(SEARCH(TEXT(N$11,"mm/dd/yyyy"), INDIRECT("'Data Murid'!$E" &amp; ROW($E29)))), "✔", ""))</f>
        <v>#REF!</v>
      </c>
      <c r="O36" s="44" t="e" cm="1">
        <f t="array" aca="1" ref="O36" ca="1">IF(OR(O$11="", INDIRECT("'Data Murid'!$E" &amp; ROW($E29))=""), "", IF(ISNUMBER(SEARCH(TEXT(O$11,"mm/dd/yyyy"), INDIRECT("'Data Murid'!$E" &amp; ROW($E29)))), "✔", ""))</f>
        <v>#REF!</v>
      </c>
      <c r="P36" s="44" t="e" cm="1">
        <f t="array" aca="1" ref="P36" ca="1">IF(OR(P$11="", INDIRECT("'Data Murid'!$E" &amp; ROW($E29))=""), "", IF(ISNUMBER(SEARCH(TEXT(P$11,"mm/dd/yyyy"), INDIRECT("'Data Murid'!$E" &amp; ROW($E29)))), "✔", ""))</f>
        <v>#REF!</v>
      </c>
      <c r="Q36" s="44" t="e" cm="1">
        <f t="array" aca="1" ref="Q36" ca="1">IF(OR(Q$11="", INDIRECT("'Data Murid'!$E" &amp; ROW($E29))=""), "", IF(ISNUMBER(SEARCH(TEXT(Q$11,"mm/dd/yyyy"), INDIRECT("'Data Murid'!$E" &amp; ROW($E29)))), "✔", ""))</f>
        <v>#REF!</v>
      </c>
      <c r="R36" s="44" t="e" cm="1">
        <f t="array" aca="1" ref="R36" ca="1">IF(OR(R$11="", INDIRECT("'Data Murid'!$E" &amp; ROW($E29))=""), "", IF(ISNUMBER(SEARCH(TEXT(R$11,"mm/dd/yyyy"), INDIRECT("'Data Murid'!$E" &amp; ROW($E29)))), "✔", ""))</f>
        <v>#REF!</v>
      </c>
      <c r="S36" s="44" t="e" cm="1">
        <f t="array" aca="1" ref="S36" ca="1">IF(OR(S$11="", INDIRECT("'Data Murid'!$E" &amp; ROW($E29))=""), "", IF(ISNUMBER(SEARCH(TEXT(S$11,"mm/dd/yyyy"), INDIRECT("'Data Murid'!$E" &amp; ROW($E29)))), "✔", ""))</f>
        <v>#REF!</v>
      </c>
      <c r="T36" s="44" t="e" cm="1">
        <f t="array" aca="1" ref="T36" ca="1">IF(OR(T$11="", INDIRECT("'Data Murid'!$E" &amp; ROW($E29))=""), "", IF(ISNUMBER(SEARCH(TEXT(T$11,"mm/dd/yyyy"), INDIRECT("'Data Murid'!$E" &amp; ROW($E29)))), "✔", ""))</f>
        <v>#REF!</v>
      </c>
      <c r="U36" s="44" t="e" cm="1">
        <f t="array" aca="1" ref="U36" ca="1">IF(OR(U$11="", INDIRECT("'Data Murid'!$E" &amp; ROW($E29))=""), "", IF(ISNUMBER(SEARCH(TEXT(U$11,"mm/dd/yyyy"), INDIRECT("'Data Murid'!$E" &amp; ROW($E29)))), "✔", ""))</f>
        <v>#REF!</v>
      </c>
      <c r="V36" s="44" t="e" cm="1">
        <f t="array" aca="1" ref="V36" ca="1">IF(OR(V$11="", INDIRECT("'Data Murid'!$E" &amp; ROW($E29))=""), "", IF(ISNUMBER(SEARCH(TEXT(V$11,"mm/dd/yyyy"), INDIRECT("'Data Murid'!$E" &amp; ROW($E29)))), "✔", ""))</f>
        <v>#REF!</v>
      </c>
      <c r="W36" s="44" t="e" cm="1">
        <f t="array" aca="1" ref="W36" ca="1">IF(OR(W$11="", INDIRECT("'Data Murid'!$E" &amp; ROW($E29))=""), "", IF(ISNUMBER(SEARCH(TEXT(W$11,"mm/dd/yyyy"), INDIRECT("'Data Murid'!$E" &amp; ROW($E29)))), "✔", ""))</f>
        <v>#REF!</v>
      </c>
      <c r="X36" s="44" t="e" cm="1">
        <f t="array" aca="1" ref="X36" ca="1">IF(OR(X$11="", INDIRECT("'Data Murid'!$E" &amp; ROW($E29))=""), "", IF(ISNUMBER(SEARCH(TEXT(X$11,"mm/dd/yyyy"), INDIRECT("'Data Murid'!$E" &amp; ROW($E29)))), "✔", ""))</f>
        <v>#REF!</v>
      </c>
      <c r="Y36" s="44" t="e" cm="1">
        <f t="array" aca="1" ref="Y36" ca="1">IF(OR(Y$11="", INDIRECT("'Data Murid'!$E" &amp; ROW($E29))=""), "", IF(ISNUMBER(SEARCH(TEXT(Y$11,"mm/dd/yyyy"), INDIRECT("'Data Murid'!$E" &amp; ROW($E29)))), "✔", ""))</f>
        <v>#REF!</v>
      </c>
      <c r="Z36" s="44" t="e" cm="1">
        <f t="array" aca="1" ref="Z36" ca="1">IF(OR(Z$11="", INDIRECT("'Data Murid'!$E" &amp; ROW($E29))=""), "", IF(ISNUMBER(SEARCH(TEXT(Z$11,"mm/dd/yyyy"), INDIRECT("'Data Murid'!$E" &amp; ROW($E29)))), "✔", ""))</f>
        <v>#REF!</v>
      </c>
      <c r="AA36" s="44" t="e" cm="1">
        <f t="array" aca="1" ref="AA36" ca="1">IF(OR(AA$11="", INDIRECT("'Data Murid'!$E" &amp; ROW($E29))=""), "", IF(ISNUMBER(SEARCH(TEXT(AA$11,"mm/dd/yyyy"), INDIRECT("'Data Murid'!$E" &amp; ROW($E29)))), "✔", ""))</f>
        <v>#REF!</v>
      </c>
      <c r="AB36" s="44" t="e" cm="1">
        <f t="array" aca="1" ref="AB36" ca="1">IF(OR(AB$11="", INDIRECT("'Data Murid'!$E" &amp; ROW($E29))=""), "", IF(ISNUMBER(SEARCH(TEXT(AB$11,"mm/dd/yyyy"), INDIRECT("'Data Murid'!$E" &amp; ROW($E29)))), "✔", ""))</f>
        <v>#REF!</v>
      </c>
      <c r="AC36" s="44" t="e" cm="1">
        <f t="array" aca="1" ref="AC36" ca="1">IF(OR(AC$11="", INDIRECT("'Data Murid'!$E" &amp; ROW($E29))=""), "", IF(ISNUMBER(SEARCH(TEXT(AC$11,"mm/dd/yyyy"), INDIRECT("'Data Murid'!$E" &amp; ROW($E29)))), "✔", ""))</f>
        <v>#REF!</v>
      </c>
      <c r="AD36" s="44" t="e" cm="1">
        <f t="array" aca="1" ref="AD36" ca="1">IF(OR(AD$11="", INDIRECT("'Data Murid'!$E" &amp; ROW($E29))=""), "", IF(ISNUMBER(SEARCH(TEXT(AD$11,"mm/dd/yyyy"), INDIRECT("'Data Murid'!$E" &amp; ROW($E29)))), "✔", ""))</f>
        <v>#REF!</v>
      </c>
      <c r="AE36" s="44" t="e" cm="1">
        <f t="array" aca="1" ref="AE36" ca="1">IF(OR(AE$11="", INDIRECT("'Data Murid'!$E" &amp; ROW($E29))=""), "", IF(ISNUMBER(SEARCH(TEXT(AE$11,"mm/dd/yyyy"), INDIRECT("'Data Murid'!$E" &amp; ROW($E29)))), "✔", ""))</f>
        <v>#REF!</v>
      </c>
      <c r="AF36" s="44" t="e" cm="1">
        <f t="array" aca="1" ref="AF36" ca="1">IF(OR(AF$11="", INDIRECT("'Data Murid'!$E" &amp; ROW($E29))=""), "", IF(ISNUMBER(SEARCH(TEXT(AF$11,"mm/dd/yyyy"), INDIRECT("'Data Murid'!$E" &amp; ROW($E29)))), "✔", ""))</f>
        <v>#REF!</v>
      </c>
      <c r="AG36" s="44" t="e" cm="1">
        <f t="array" aca="1" ref="AG36" ca="1">IF(OR(AG$11="", INDIRECT("'Data Murid'!$E" &amp; ROW($E29))=""), "", IF(ISNUMBER(SEARCH(TEXT(AG$11,"mm/dd/yyyy"), INDIRECT("'Data Murid'!$E" &amp; ROW($E29)))), "✔", ""))</f>
        <v>#REF!</v>
      </c>
      <c r="AH36" s="44" t="e" cm="1">
        <f t="array" aca="1" ref="AH36" ca="1">IF(OR(AH$11="", INDIRECT("'Data Murid'!$E" &amp; ROW($E29))=""), "", IF(ISNUMBER(SEARCH(TEXT(AH$11,"mm/dd/yyyy"), INDIRECT("'Data Murid'!$E" &amp; ROW($E29)))), "✔", ""))</f>
        <v>#REF!</v>
      </c>
      <c r="AI36" s="44" t="e" cm="1">
        <f t="array" aca="1" ref="AI36" ca="1">IF(OR(AI$11="", INDIRECT("'Data Murid'!$E" &amp; ROW($E29))=""), "", IF(ISNUMBER(SEARCH(TEXT(AI$11,"mm/dd/yyyy"), INDIRECT("'Data Murid'!$E" &amp; ROW($E29)))), "✔", ""))</f>
        <v>#REF!</v>
      </c>
      <c r="AJ36" s="40">
        <f t="shared" ca="1" si="2"/>
        <v>0</v>
      </c>
    </row>
    <row r="37" spans="1:36" ht="14.25" customHeight="1" x14ac:dyDescent="0.25">
      <c r="A37" s="27">
        <v>23</v>
      </c>
      <c r="B37" s="25" t="e">
        <f ca="1">'rekap absensi seluruhnya'!B42</f>
        <v>#REF!</v>
      </c>
      <c r="C37" s="52" t="e">
        <f ca="1">'rekap absensi seluruhnya'!C42</f>
        <v>#REF!</v>
      </c>
      <c r="D37" s="25" t="e">
        <f ca="1">'rekap absensi seluruhnya'!D42</f>
        <v>#REF!</v>
      </c>
      <c r="E37" s="44" t="e" cm="1">
        <f t="array" aca="1" ref="E37" ca="1">IF(OR(E$11="", INDIRECT("'Data Murid'!$E" &amp; ROW($E30))=""), "", IF(ISNUMBER(SEARCH(TEXT(E$11,"mm/dd/yyyy"), INDIRECT("'Data Murid'!$E" &amp; ROW($E30)))), "✔", ""))</f>
        <v>#REF!</v>
      </c>
      <c r="F37" s="44" t="e" cm="1">
        <f t="array" aca="1" ref="F37" ca="1">IF(OR(F$11="", INDIRECT("'Data Murid'!$E" &amp; ROW($E30))=""), "", IF(ISNUMBER(SEARCH(TEXT(F$11,"mm/dd/yyyy"), INDIRECT("'Data Murid'!$E" &amp; ROW($E30)))), "✔", ""))</f>
        <v>#REF!</v>
      </c>
      <c r="G37" s="44" t="e" cm="1">
        <f t="array" aca="1" ref="G37" ca="1">IF(OR(G$11="", INDIRECT("'Data Murid'!$E" &amp; ROW($E30))=""), "", IF(ISNUMBER(SEARCH(TEXT(G$11,"mm/dd/yyyy"), INDIRECT("'Data Murid'!$E" &amp; ROW($E30)))), "✔", ""))</f>
        <v>#REF!</v>
      </c>
      <c r="H37" s="44" t="e" cm="1">
        <f t="array" aca="1" ref="H37" ca="1">IF(OR(H$11="", INDIRECT("'Data Murid'!$E" &amp; ROW($E30))=""), "", IF(ISNUMBER(SEARCH(TEXT(H$11,"mm/dd/yyyy"), INDIRECT("'Data Murid'!$E" &amp; ROW($E30)))), "✔", ""))</f>
        <v>#REF!</v>
      </c>
      <c r="I37" s="44" t="e" cm="1">
        <f t="array" aca="1" ref="I37" ca="1">IF(OR(I$11="", INDIRECT("'Data Murid'!$E" &amp; ROW($E30))=""), "", IF(ISNUMBER(SEARCH(TEXT(I$11,"mm/dd/yyyy"), INDIRECT("'Data Murid'!$E" &amp; ROW($E30)))), "✔", ""))</f>
        <v>#REF!</v>
      </c>
      <c r="J37" s="44" t="e" cm="1">
        <f t="array" aca="1" ref="J37" ca="1">IF(OR(J$11="", INDIRECT("'Data Murid'!$E" &amp; ROW($E30))=""), "", IF(ISNUMBER(SEARCH(TEXT(J$11,"mm/dd/yyyy"), INDIRECT("'Data Murid'!$E" &amp; ROW($E30)))), "✔", ""))</f>
        <v>#REF!</v>
      </c>
      <c r="K37" s="44" t="e" cm="1">
        <f t="array" aca="1" ref="K37" ca="1">IF(OR(K$11="", INDIRECT("'Data Murid'!$E" &amp; ROW($E30))=""), "", IF(ISNUMBER(SEARCH(TEXT(K$11,"mm/dd/yyyy"), INDIRECT("'Data Murid'!$E" &amp; ROW($E30)))), "✔", ""))</f>
        <v>#REF!</v>
      </c>
      <c r="L37" s="44" t="e" cm="1">
        <f t="array" aca="1" ref="L37" ca="1">IF(OR(L$11="", INDIRECT("'Data Murid'!$E" &amp; ROW($E30))=""), "", IF(ISNUMBER(SEARCH(TEXT(L$11,"mm/dd/yyyy"), INDIRECT("'Data Murid'!$E" &amp; ROW($E30)))), "✔", ""))</f>
        <v>#REF!</v>
      </c>
      <c r="M37" s="44" t="e" cm="1">
        <f t="array" aca="1" ref="M37" ca="1">IF(OR(M$11="", INDIRECT("'Data Murid'!$E" &amp; ROW($E30))=""), "", IF(ISNUMBER(SEARCH(TEXT(M$11,"mm/dd/yyyy"), INDIRECT("'Data Murid'!$E" &amp; ROW($E30)))), "✔", ""))</f>
        <v>#REF!</v>
      </c>
      <c r="N37" s="44" t="e" cm="1">
        <f t="array" aca="1" ref="N37" ca="1">IF(OR(N$11="", INDIRECT("'Data Murid'!$E" &amp; ROW($E30))=""), "", IF(ISNUMBER(SEARCH(TEXT(N$11,"mm/dd/yyyy"), INDIRECT("'Data Murid'!$E" &amp; ROW($E30)))), "✔", ""))</f>
        <v>#REF!</v>
      </c>
      <c r="O37" s="44" t="e" cm="1">
        <f t="array" aca="1" ref="O37" ca="1">IF(OR(O$11="", INDIRECT("'Data Murid'!$E" &amp; ROW($E30))=""), "", IF(ISNUMBER(SEARCH(TEXT(O$11,"mm/dd/yyyy"), INDIRECT("'Data Murid'!$E" &amp; ROW($E30)))), "✔", ""))</f>
        <v>#REF!</v>
      </c>
      <c r="P37" s="44" t="e" cm="1">
        <f t="array" aca="1" ref="P37" ca="1">IF(OR(P$11="", INDIRECT("'Data Murid'!$E" &amp; ROW($E30))=""), "", IF(ISNUMBER(SEARCH(TEXT(P$11,"mm/dd/yyyy"), INDIRECT("'Data Murid'!$E" &amp; ROW($E30)))), "✔", ""))</f>
        <v>#REF!</v>
      </c>
      <c r="Q37" s="44" t="e" cm="1">
        <f t="array" aca="1" ref="Q37" ca="1">IF(OR(Q$11="", INDIRECT("'Data Murid'!$E" &amp; ROW($E30))=""), "", IF(ISNUMBER(SEARCH(TEXT(Q$11,"mm/dd/yyyy"), INDIRECT("'Data Murid'!$E" &amp; ROW($E30)))), "✔", ""))</f>
        <v>#REF!</v>
      </c>
      <c r="R37" s="44" t="e" cm="1">
        <f t="array" aca="1" ref="R37" ca="1">IF(OR(R$11="", INDIRECT("'Data Murid'!$E" &amp; ROW($E30))=""), "", IF(ISNUMBER(SEARCH(TEXT(R$11,"mm/dd/yyyy"), INDIRECT("'Data Murid'!$E" &amp; ROW($E30)))), "✔", ""))</f>
        <v>#REF!</v>
      </c>
      <c r="S37" s="44" t="e" cm="1">
        <f t="array" aca="1" ref="S37" ca="1">IF(OR(S$11="", INDIRECT("'Data Murid'!$E" &amp; ROW($E30))=""), "", IF(ISNUMBER(SEARCH(TEXT(S$11,"mm/dd/yyyy"), INDIRECT("'Data Murid'!$E" &amp; ROW($E30)))), "✔", ""))</f>
        <v>#REF!</v>
      </c>
      <c r="T37" s="44" t="e" cm="1">
        <f t="array" aca="1" ref="T37" ca="1">IF(OR(T$11="", INDIRECT("'Data Murid'!$E" &amp; ROW($E30))=""), "", IF(ISNUMBER(SEARCH(TEXT(T$11,"mm/dd/yyyy"), INDIRECT("'Data Murid'!$E" &amp; ROW($E30)))), "✔", ""))</f>
        <v>#REF!</v>
      </c>
      <c r="U37" s="44" t="e" cm="1">
        <f t="array" aca="1" ref="U37" ca="1">IF(OR(U$11="", INDIRECT("'Data Murid'!$E" &amp; ROW($E30))=""), "", IF(ISNUMBER(SEARCH(TEXT(U$11,"mm/dd/yyyy"), INDIRECT("'Data Murid'!$E" &amp; ROW($E30)))), "✔", ""))</f>
        <v>#REF!</v>
      </c>
      <c r="V37" s="44" t="e" cm="1">
        <f t="array" aca="1" ref="V37" ca="1">IF(OR(V$11="", INDIRECT("'Data Murid'!$E" &amp; ROW($E30))=""), "", IF(ISNUMBER(SEARCH(TEXT(V$11,"mm/dd/yyyy"), INDIRECT("'Data Murid'!$E" &amp; ROW($E30)))), "✔", ""))</f>
        <v>#REF!</v>
      </c>
      <c r="W37" s="44" t="e" cm="1">
        <f t="array" aca="1" ref="W37" ca="1">IF(OR(W$11="", INDIRECT("'Data Murid'!$E" &amp; ROW($E30))=""), "", IF(ISNUMBER(SEARCH(TEXT(W$11,"mm/dd/yyyy"), INDIRECT("'Data Murid'!$E" &amp; ROW($E30)))), "✔", ""))</f>
        <v>#REF!</v>
      </c>
      <c r="X37" s="44" t="e" cm="1">
        <f t="array" aca="1" ref="X37" ca="1">IF(OR(X$11="", INDIRECT("'Data Murid'!$E" &amp; ROW($E30))=""), "", IF(ISNUMBER(SEARCH(TEXT(X$11,"mm/dd/yyyy"), INDIRECT("'Data Murid'!$E" &amp; ROW($E30)))), "✔", ""))</f>
        <v>#REF!</v>
      </c>
      <c r="Y37" s="44" t="e" cm="1">
        <f t="array" aca="1" ref="Y37" ca="1">IF(OR(Y$11="", INDIRECT("'Data Murid'!$E" &amp; ROW($E30))=""), "", IF(ISNUMBER(SEARCH(TEXT(Y$11,"mm/dd/yyyy"), INDIRECT("'Data Murid'!$E" &amp; ROW($E30)))), "✔", ""))</f>
        <v>#REF!</v>
      </c>
      <c r="Z37" s="44" t="e" cm="1">
        <f t="array" aca="1" ref="Z37" ca="1">IF(OR(Z$11="", INDIRECT("'Data Murid'!$E" &amp; ROW($E30))=""), "", IF(ISNUMBER(SEARCH(TEXT(Z$11,"mm/dd/yyyy"), INDIRECT("'Data Murid'!$E" &amp; ROW($E30)))), "✔", ""))</f>
        <v>#REF!</v>
      </c>
      <c r="AA37" s="44" t="e" cm="1">
        <f t="array" aca="1" ref="AA37" ca="1">IF(OR(AA$11="", INDIRECT("'Data Murid'!$E" &amp; ROW($E30))=""), "", IF(ISNUMBER(SEARCH(TEXT(AA$11,"mm/dd/yyyy"), INDIRECT("'Data Murid'!$E" &amp; ROW($E30)))), "✔", ""))</f>
        <v>#REF!</v>
      </c>
      <c r="AB37" s="44" t="e" cm="1">
        <f t="array" aca="1" ref="AB37" ca="1">IF(OR(AB$11="", INDIRECT("'Data Murid'!$E" &amp; ROW($E30))=""), "", IF(ISNUMBER(SEARCH(TEXT(AB$11,"mm/dd/yyyy"), INDIRECT("'Data Murid'!$E" &amp; ROW($E30)))), "✔", ""))</f>
        <v>#REF!</v>
      </c>
      <c r="AC37" s="44" t="e" cm="1">
        <f t="array" aca="1" ref="AC37" ca="1">IF(OR(AC$11="", INDIRECT("'Data Murid'!$E" &amp; ROW($E30))=""), "", IF(ISNUMBER(SEARCH(TEXT(AC$11,"mm/dd/yyyy"), INDIRECT("'Data Murid'!$E" &amp; ROW($E30)))), "✔", ""))</f>
        <v>#REF!</v>
      </c>
      <c r="AD37" s="44" t="e" cm="1">
        <f t="array" aca="1" ref="AD37" ca="1">IF(OR(AD$11="", INDIRECT("'Data Murid'!$E" &amp; ROW($E30))=""), "", IF(ISNUMBER(SEARCH(TEXT(AD$11,"mm/dd/yyyy"), INDIRECT("'Data Murid'!$E" &amp; ROW($E30)))), "✔", ""))</f>
        <v>#REF!</v>
      </c>
      <c r="AE37" s="44" t="e" cm="1">
        <f t="array" aca="1" ref="AE37" ca="1">IF(OR(AE$11="", INDIRECT("'Data Murid'!$E" &amp; ROW($E30))=""), "", IF(ISNUMBER(SEARCH(TEXT(AE$11,"mm/dd/yyyy"), INDIRECT("'Data Murid'!$E" &amp; ROW($E30)))), "✔", ""))</f>
        <v>#REF!</v>
      </c>
      <c r="AF37" s="44" t="e" cm="1">
        <f t="array" aca="1" ref="AF37" ca="1">IF(OR(AF$11="", INDIRECT("'Data Murid'!$E" &amp; ROW($E30))=""), "", IF(ISNUMBER(SEARCH(TEXT(AF$11,"mm/dd/yyyy"), INDIRECT("'Data Murid'!$E" &amp; ROW($E30)))), "✔", ""))</f>
        <v>#REF!</v>
      </c>
      <c r="AG37" s="44" t="e" cm="1">
        <f t="array" aca="1" ref="AG37" ca="1">IF(OR(AG$11="", INDIRECT("'Data Murid'!$E" &amp; ROW($E30))=""), "", IF(ISNUMBER(SEARCH(TEXT(AG$11,"mm/dd/yyyy"), INDIRECT("'Data Murid'!$E" &amp; ROW($E30)))), "✔", ""))</f>
        <v>#REF!</v>
      </c>
      <c r="AH37" s="44" t="e" cm="1">
        <f t="array" aca="1" ref="AH37" ca="1">IF(OR(AH$11="", INDIRECT("'Data Murid'!$E" &amp; ROW($E30))=""), "", IF(ISNUMBER(SEARCH(TEXT(AH$11,"mm/dd/yyyy"), INDIRECT("'Data Murid'!$E" &amp; ROW($E30)))), "✔", ""))</f>
        <v>#REF!</v>
      </c>
      <c r="AI37" s="44" t="e" cm="1">
        <f t="array" aca="1" ref="AI37" ca="1">IF(OR(AI$11="", INDIRECT("'Data Murid'!$E" &amp; ROW($E30))=""), "", IF(ISNUMBER(SEARCH(TEXT(AI$11,"mm/dd/yyyy"), INDIRECT("'Data Murid'!$E" &amp; ROW($E30)))), "✔", ""))</f>
        <v>#REF!</v>
      </c>
      <c r="AJ37" s="40">
        <f t="shared" ca="1" si="2"/>
        <v>0</v>
      </c>
    </row>
    <row r="38" spans="1:36" ht="14.25" customHeight="1" x14ac:dyDescent="0.25">
      <c r="A38" s="27">
        <v>24</v>
      </c>
      <c r="B38" s="25" t="e">
        <f ca="1">'rekap absensi seluruhnya'!B43</f>
        <v>#REF!</v>
      </c>
      <c r="C38" s="52" t="e">
        <f ca="1">'rekap absensi seluruhnya'!C43</f>
        <v>#REF!</v>
      </c>
      <c r="D38" s="25" t="e">
        <f ca="1">'rekap absensi seluruhnya'!D43</f>
        <v>#REF!</v>
      </c>
      <c r="E38" s="44" t="e" cm="1">
        <f t="array" aca="1" ref="E38" ca="1">IF(OR(E$11="", INDIRECT("'Data Murid'!$E" &amp; ROW($E31))=""), "", IF(ISNUMBER(SEARCH(TEXT(E$11,"mm/dd/yyyy"), INDIRECT("'Data Murid'!$E" &amp; ROW($E31)))), "✔", ""))</f>
        <v>#REF!</v>
      </c>
      <c r="F38" s="44" t="e" cm="1">
        <f t="array" aca="1" ref="F38" ca="1">IF(OR(F$11="", INDIRECT("'Data Murid'!$E" &amp; ROW($E31))=""), "", IF(ISNUMBER(SEARCH(TEXT(F$11,"mm/dd/yyyy"), INDIRECT("'Data Murid'!$E" &amp; ROW($E31)))), "✔", ""))</f>
        <v>#REF!</v>
      </c>
      <c r="G38" s="44" t="e" cm="1">
        <f t="array" aca="1" ref="G38" ca="1">IF(OR(G$11="", INDIRECT("'Data Murid'!$E" &amp; ROW($E31))=""), "", IF(ISNUMBER(SEARCH(TEXT(G$11,"mm/dd/yyyy"), INDIRECT("'Data Murid'!$E" &amp; ROW($E31)))), "✔", ""))</f>
        <v>#REF!</v>
      </c>
      <c r="H38" s="44" t="e" cm="1">
        <f t="array" aca="1" ref="H38" ca="1">IF(OR(H$11="", INDIRECT("'Data Murid'!$E" &amp; ROW($E31))=""), "", IF(ISNUMBER(SEARCH(TEXT(H$11,"mm/dd/yyyy"), INDIRECT("'Data Murid'!$E" &amp; ROW($E31)))), "✔", ""))</f>
        <v>#REF!</v>
      </c>
      <c r="I38" s="44" t="e" cm="1">
        <f t="array" aca="1" ref="I38" ca="1">IF(OR(I$11="", INDIRECT("'Data Murid'!$E" &amp; ROW($E31))=""), "", IF(ISNUMBER(SEARCH(TEXT(I$11,"mm/dd/yyyy"), INDIRECT("'Data Murid'!$E" &amp; ROW($E31)))), "✔", ""))</f>
        <v>#REF!</v>
      </c>
      <c r="J38" s="44" t="e" cm="1">
        <f t="array" aca="1" ref="J38" ca="1">IF(OR(J$11="", INDIRECT("'Data Murid'!$E" &amp; ROW($E31))=""), "", IF(ISNUMBER(SEARCH(TEXT(J$11,"mm/dd/yyyy"), INDIRECT("'Data Murid'!$E" &amp; ROW($E31)))), "✔", ""))</f>
        <v>#REF!</v>
      </c>
      <c r="K38" s="44" t="e" cm="1">
        <f t="array" aca="1" ref="K38" ca="1">IF(OR(K$11="", INDIRECT("'Data Murid'!$E" &amp; ROW($E31))=""), "", IF(ISNUMBER(SEARCH(TEXT(K$11,"mm/dd/yyyy"), INDIRECT("'Data Murid'!$E" &amp; ROW($E31)))), "✔", ""))</f>
        <v>#REF!</v>
      </c>
      <c r="L38" s="44" t="e" cm="1">
        <f t="array" aca="1" ref="L38" ca="1">IF(OR(L$11="", INDIRECT("'Data Murid'!$E" &amp; ROW($E31))=""), "", IF(ISNUMBER(SEARCH(TEXT(L$11,"mm/dd/yyyy"), INDIRECT("'Data Murid'!$E" &amp; ROW($E31)))), "✔", ""))</f>
        <v>#REF!</v>
      </c>
      <c r="M38" s="44" t="e" cm="1">
        <f t="array" aca="1" ref="M38" ca="1">IF(OR(M$11="", INDIRECT("'Data Murid'!$E" &amp; ROW($E31))=""), "", IF(ISNUMBER(SEARCH(TEXT(M$11,"mm/dd/yyyy"), INDIRECT("'Data Murid'!$E" &amp; ROW($E31)))), "✔", ""))</f>
        <v>#REF!</v>
      </c>
      <c r="N38" s="44" t="e" cm="1">
        <f t="array" aca="1" ref="N38" ca="1">IF(OR(N$11="", INDIRECT("'Data Murid'!$E" &amp; ROW($E31))=""), "", IF(ISNUMBER(SEARCH(TEXT(N$11,"mm/dd/yyyy"), INDIRECT("'Data Murid'!$E" &amp; ROW($E31)))), "✔", ""))</f>
        <v>#REF!</v>
      </c>
      <c r="O38" s="44" t="e" cm="1">
        <f t="array" aca="1" ref="O38" ca="1">IF(OR(O$11="", INDIRECT("'Data Murid'!$E" &amp; ROW($E31))=""), "", IF(ISNUMBER(SEARCH(TEXT(O$11,"mm/dd/yyyy"), INDIRECT("'Data Murid'!$E" &amp; ROW($E31)))), "✔", ""))</f>
        <v>#REF!</v>
      </c>
      <c r="P38" s="44" t="e" cm="1">
        <f t="array" aca="1" ref="P38" ca="1">IF(OR(P$11="", INDIRECT("'Data Murid'!$E" &amp; ROW($E31))=""), "", IF(ISNUMBER(SEARCH(TEXT(P$11,"mm/dd/yyyy"), INDIRECT("'Data Murid'!$E" &amp; ROW($E31)))), "✔", ""))</f>
        <v>#REF!</v>
      </c>
      <c r="Q38" s="44" t="e" cm="1">
        <f t="array" aca="1" ref="Q38" ca="1">IF(OR(Q$11="", INDIRECT("'Data Murid'!$E" &amp; ROW($E31))=""), "", IF(ISNUMBER(SEARCH(TEXT(Q$11,"mm/dd/yyyy"), INDIRECT("'Data Murid'!$E" &amp; ROW($E31)))), "✔", ""))</f>
        <v>#REF!</v>
      </c>
      <c r="R38" s="44" t="e" cm="1">
        <f t="array" aca="1" ref="R38" ca="1">IF(OR(R$11="", INDIRECT("'Data Murid'!$E" &amp; ROW($E31))=""), "", IF(ISNUMBER(SEARCH(TEXT(R$11,"mm/dd/yyyy"), INDIRECT("'Data Murid'!$E" &amp; ROW($E31)))), "✔", ""))</f>
        <v>#REF!</v>
      </c>
      <c r="S38" s="44" t="e" cm="1">
        <f t="array" aca="1" ref="S38" ca="1">IF(OR(S$11="", INDIRECT("'Data Murid'!$E" &amp; ROW($E31))=""), "", IF(ISNUMBER(SEARCH(TEXT(S$11,"mm/dd/yyyy"), INDIRECT("'Data Murid'!$E" &amp; ROW($E31)))), "✔", ""))</f>
        <v>#REF!</v>
      </c>
      <c r="T38" s="44" t="e" cm="1">
        <f t="array" aca="1" ref="T38" ca="1">IF(OR(T$11="", INDIRECT("'Data Murid'!$E" &amp; ROW($E31))=""), "", IF(ISNUMBER(SEARCH(TEXT(T$11,"mm/dd/yyyy"), INDIRECT("'Data Murid'!$E" &amp; ROW($E31)))), "✔", ""))</f>
        <v>#REF!</v>
      </c>
      <c r="U38" s="44" t="e" cm="1">
        <f t="array" aca="1" ref="U38" ca="1">IF(OR(U$11="", INDIRECT("'Data Murid'!$E" &amp; ROW($E31))=""), "", IF(ISNUMBER(SEARCH(TEXT(U$11,"mm/dd/yyyy"), INDIRECT("'Data Murid'!$E" &amp; ROW($E31)))), "✔", ""))</f>
        <v>#REF!</v>
      </c>
      <c r="V38" s="44" t="e" cm="1">
        <f t="array" aca="1" ref="V38" ca="1">IF(OR(V$11="", INDIRECT("'Data Murid'!$E" &amp; ROW($E31))=""), "", IF(ISNUMBER(SEARCH(TEXT(V$11,"mm/dd/yyyy"), INDIRECT("'Data Murid'!$E" &amp; ROW($E31)))), "✔", ""))</f>
        <v>#REF!</v>
      </c>
      <c r="W38" s="44" t="e" cm="1">
        <f t="array" aca="1" ref="W38" ca="1">IF(OR(W$11="", INDIRECT("'Data Murid'!$E" &amp; ROW($E31))=""), "", IF(ISNUMBER(SEARCH(TEXT(W$11,"mm/dd/yyyy"), INDIRECT("'Data Murid'!$E" &amp; ROW($E31)))), "✔", ""))</f>
        <v>#REF!</v>
      </c>
      <c r="X38" s="44" t="e" cm="1">
        <f t="array" aca="1" ref="X38" ca="1">IF(OR(X$11="", INDIRECT("'Data Murid'!$E" &amp; ROW($E31))=""), "", IF(ISNUMBER(SEARCH(TEXT(X$11,"mm/dd/yyyy"), INDIRECT("'Data Murid'!$E" &amp; ROW($E31)))), "✔", ""))</f>
        <v>#REF!</v>
      </c>
      <c r="Y38" s="44" t="e" cm="1">
        <f t="array" aca="1" ref="Y38" ca="1">IF(OR(Y$11="", INDIRECT("'Data Murid'!$E" &amp; ROW($E31))=""), "", IF(ISNUMBER(SEARCH(TEXT(Y$11,"mm/dd/yyyy"), INDIRECT("'Data Murid'!$E" &amp; ROW($E31)))), "✔", ""))</f>
        <v>#REF!</v>
      </c>
      <c r="Z38" s="44" t="e" cm="1">
        <f t="array" aca="1" ref="Z38" ca="1">IF(OR(Z$11="", INDIRECT("'Data Murid'!$E" &amp; ROW($E31))=""), "", IF(ISNUMBER(SEARCH(TEXT(Z$11,"mm/dd/yyyy"), INDIRECT("'Data Murid'!$E" &amp; ROW($E31)))), "✔", ""))</f>
        <v>#REF!</v>
      </c>
      <c r="AA38" s="44" t="e" cm="1">
        <f t="array" aca="1" ref="AA38" ca="1">IF(OR(AA$11="", INDIRECT("'Data Murid'!$E" &amp; ROW($E31))=""), "", IF(ISNUMBER(SEARCH(TEXT(AA$11,"mm/dd/yyyy"), INDIRECT("'Data Murid'!$E" &amp; ROW($E31)))), "✔", ""))</f>
        <v>#REF!</v>
      </c>
      <c r="AB38" s="44" t="e" cm="1">
        <f t="array" aca="1" ref="AB38" ca="1">IF(OR(AB$11="", INDIRECT("'Data Murid'!$E" &amp; ROW($E31))=""), "", IF(ISNUMBER(SEARCH(TEXT(AB$11,"mm/dd/yyyy"), INDIRECT("'Data Murid'!$E" &amp; ROW($E31)))), "✔", ""))</f>
        <v>#REF!</v>
      </c>
      <c r="AC38" s="44" t="e" cm="1">
        <f t="array" aca="1" ref="AC38" ca="1">IF(OR(AC$11="", INDIRECT("'Data Murid'!$E" &amp; ROW($E31))=""), "", IF(ISNUMBER(SEARCH(TEXT(AC$11,"mm/dd/yyyy"), INDIRECT("'Data Murid'!$E" &amp; ROW($E31)))), "✔", ""))</f>
        <v>#REF!</v>
      </c>
      <c r="AD38" s="44" t="e" cm="1">
        <f t="array" aca="1" ref="AD38" ca="1">IF(OR(AD$11="", INDIRECT("'Data Murid'!$E" &amp; ROW($E31))=""), "", IF(ISNUMBER(SEARCH(TEXT(AD$11,"mm/dd/yyyy"), INDIRECT("'Data Murid'!$E" &amp; ROW($E31)))), "✔", ""))</f>
        <v>#REF!</v>
      </c>
      <c r="AE38" s="44" t="e" cm="1">
        <f t="array" aca="1" ref="AE38" ca="1">IF(OR(AE$11="", INDIRECT("'Data Murid'!$E" &amp; ROW($E31))=""), "", IF(ISNUMBER(SEARCH(TEXT(AE$11,"mm/dd/yyyy"), INDIRECT("'Data Murid'!$E" &amp; ROW($E31)))), "✔", ""))</f>
        <v>#REF!</v>
      </c>
      <c r="AF38" s="44" t="e" cm="1">
        <f t="array" aca="1" ref="AF38" ca="1">IF(OR(AF$11="", INDIRECT("'Data Murid'!$E" &amp; ROW($E31))=""), "", IF(ISNUMBER(SEARCH(TEXT(AF$11,"mm/dd/yyyy"), INDIRECT("'Data Murid'!$E" &amp; ROW($E31)))), "✔", ""))</f>
        <v>#REF!</v>
      </c>
      <c r="AG38" s="44" t="e" cm="1">
        <f t="array" aca="1" ref="AG38" ca="1">IF(OR(AG$11="", INDIRECT("'Data Murid'!$E" &amp; ROW($E31))=""), "", IF(ISNUMBER(SEARCH(TEXT(AG$11,"mm/dd/yyyy"), INDIRECT("'Data Murid'!$E" &amp; ROW($E31)))), "✔", ""))</f>
        <v>#REF!</v>
      </c>
      <c r="AH38" s="44" t="e" cm="1">
        <f t="array" aca="1" ref="AH38" ca="1">IF(OR(AH$11="", INDIRECT("'Data Murid'!$E" &amp; ROW($E31))=""), "", IF(ISNUMBER(SEARCH(TEXT(AH$11,"mm/dd/yyyy"), INDIRECT("'Data Murid'!$E" &amp; ROW($E31)))), "✔", ""))</f>
        <v>#REF!</v>
      </c>
      <c r="AI38" s="44" t="e" cm="1">
        <f t="array" aca="1" ref="AI38" ca="1">IF(OR(AI$11="", INDIRECT("'Data Murid'!$E" &amp; ROW($E31))=""), "", IF(ISNUMBER(SEARCH(TEXT(AI$11,"mm/dd/yyyy"), INDIRECT("'Data Murid'!$E" &amp; ROW($E31)))), "✔", ""))</f>
        <v>#REF!</v>
      </c>
      <c r="AJ38" s="40">
        <f t="shared" ca="1" si="2"/>
        <v>0</v>
      </c>
    </row>
    <row r="39" spans="1:36" ht="14.25" customHeight="1" x14ac:dyDescent="0.25">
      <c r="A39" s="27">
        <v>25</v>
      </c>
      <c r="B39" s="25" t="e">
        <f ca="1">'rekap absensi seluruhnya'!B44</f>
        <v>#REF!</v>
      </c>
      <c r="C39" s="52" t="e">
        <f ca="1">'rekap absensi seluruhnya'!C44</f>
        <v>#REF!</v>
      </c>
      <c r="D39" s="25" t="e">
        <f ca="1">'rekap absensi seluruhnya'!D44</f>
        <v>#REF!</v>
      </c>
      <c r="E39" s="44" t="e" cm="1">
        <f t="array" aca="1" ref="E39" ca="1">IF(OR(E$11="", INDIRECT("'Data Murid'!$E" &amp; ROW($E32))=""), "", IF(ISNUMBER(SEARCH(TEXT(E$11,"mm/dd/yyyy"), INDIRECT("'Data Murid'!$E" &amp; ROW($E32)))), "✔", ""))</f>
        <v>#REF!</v>
      </c>
      <c r="F39" s="44" t="e" cm="1">
        <f t="array" aca="1" ref="F39" ca="1">IF(OR(F$11="", INDIRECT("'Data Murid'!$E" &amp; ROW($E32))=""), "", IF(ISNUMBER(SEARCH(TEXT(F$11,"mm/dd/yyyy"), INDIRECT("'Data Murid'!$E" &amp; ROW($E32)))), "✔", ""))</f>
        <v>#REF!</v>
      </c>
      <c r="G39" s="44" t="e" cm="1">
        <f t="array" aca="1" ref="G39" ca="1">IF(OR(G$11="", INDIRECT("'Data Murid'!$E" &amp; ROW($E32))=""), "", IF(ISNUMBER(SEARCH(TEXT(G$11,"mm/dd/yyyy"), INDIRECT("'Data Murid'!$E" &amp; ROW($E32)))), "✔", ""))</f>
        <v>#REF!</v>
      </c>
      <c r="H39" s="44" t="e" cm="1">
        <f t="array" aca="1" ref="H39" ca="1">IF(OR(H$11="", INDIRECT("'Data Murid'!$E" &amp; ROW($E32))=""), "", IF(ISNUMBER(SEARCH(TEXT(H$11,"mm/dd/yyyy"), INDIRECT("'Data Murid'!$E" &amp; ROW($E32)))), "✔", ""))</f>
        <v>#REF!</v>
      </c>
      <c r="I39" s="44" t="e" cm="1">
        <f t="array" aca="1" ref="I39" ca="1">IF(OR(I$11="", INDIRECT("'Data Murid'!$E" &amp; ROW($E32))=""), "", IF(ISNUMBER(SEARCH(TEXT(I$11,"mm/dd/yyyy"), INDIRECT("'Data Murid'!$E" &amp; ROW($E32)))), "✔", ""))</f>
        <v>#REF!</v>
      </c>
      <c r="J39" s="44" t="e" cm="1">
        <f t="array" aca="1" ref="J39" ca="1">IF(OR(J$11="", INDIRECT("'Data Murid'!$E" &amp; ROW($E32))=""), "", IF(ISNUMBER(SEARCH(TEXT(J$11,"mm/dd/yyyy"), INDIRECT("'Data Murid'!$E" &amp; ROW($E32)))), "✔", ""))</f>
        <v>#REF!</v>
      </c>
      <c r="K39" s="44" t="e" cm="1">
        <f t="array" aca="1" ref="K39" ca="1">IF(OR(K$11="", INDIRECT("'Data Murid'!$E" &amp; ROW($E32))=""), "", IF(ISNUMBER(SEARCH(TEXT(K$11,"mm/dd/yyyy"), INDIRECT("'Data Murid'!$E" &amp; ROW($E32)))), "✔", ""))</f>
        <v>#REF!</v>
      </c>
      <c r="L39" s="44" t="e" cm="1">
        <f t="array" aca="1" ref="L39" ca="1">IF(OR(L$11="", INDIRECT("'Data Murid'!$E" &amp; ROW($E32))=""), "", IF(ISNUMBER(SEARCH(TEXT(L$11,"mm/dd/yyyy"), INDIRECT("'Data Murid'!$E" &amp; ROW($E32)))), "✔", ""))</f>
        <v>#REF!</v>
      </c>
      <c r="M39" s="44" t="e" cm="1">
        <f t="array" aca="1" ref="M39" ca="1">IF(OR(M$11="", INDIRECT("'Data Murid'!$E" &amp; ROW($E32))=""), "", IF(ISNUMBER(SEARCH(TEXT(M$11,"mm/dd/yyyy"), INDIRECT("'Data Murid'!$E" &amp; ROW($E32)))), "✔", ""))</f>
        <v>#REF!</v>
      </c>
      <c r="N39" s="44" t="e" cm="1">
        <f t="array" aca="1" ref="N39" ca="1">IF(OR(N$11="", INDIRECT("'Data Murid'!$E" &amp; ROW($E32))=""), "", IF(ISNUMBER(SEARCH(TEXT(N$11,"mm/dd/yyyy"), INDIRECT("'Data Murid'!$E" &amp; ROW($E32)))), "✔", ""))</f>
        <v>#REF!</v>
      </c>
      <c r="O39" s="44" t="e" cm="1">
        <f t="array" aca="1" ref="O39" ca="1">IF(OR(O$11="", INDIRECT("'Data Murid'!$E" &amp; ROW($E32))=""), "", IF(ISNUMBER(SEARCH(TEXT(O$11,"mm/dd/yyyy"), INDIRECT("'Data Murid'!$E" &amp; ROW($E32)))), "✔", ""))</f>
        <v>#REF!</v>
      </c>
      <c r="P39" s="44" t="e" cm="1">
        <f t="array" aca="1" ref="P39" ca="1">IF(OR(P$11="", INDIRECT("'Data Murid'!$E" &amp; ROW($E32))=""), "", IF(ISNUMBER(SEARCH(TEXT(P$11,"mm/dd/yyyy"), INDIRECT("'Data Murid'!$E" &amp; ROW($E32)))), "✔", ""))</f>
        <v>#REF!</v>
      </c>
      <c r="Q39" s="44" t="e" cm="1">
        <f t="array" aca="1" ref="Q39" ca="1">IF(OR(Q$11="", INDIRECT("'Data Murid'!$E" &amp; ROW($E32))=""), "", IF(ISNUMBER(SEARCH(TEXT(Q$11,"mm/dd/yyyy"), INDIRECT("'Data Murid'!$E" &amp; ROW($E32)))), "✔", ""))</f>
        <v>#REF!</v>
      </c>
      <c r="R39" s="44" t="e" cm="1">
        <f t="array" aca="1" ref="R39" ca="1">IF(OR(R$11="", INDIRECT("'Data Murid'!$E" &amp; ROW($E32))=""), "", IF(ISNUMBER(SEARCH(TEXT(R$11,"mm/dd/yyyy"), INDIRECT("'Data Murid'!$E" &amp; ROW($E32)))), "✔", ""))</f>
        <v>#REF!</v>
      </c>
      <c r="S39" s="44" t="e" cm="1">
        <f t="array" aca="1" ref="S39" ca="1">IF(OR(S$11="", INDIRECT("'Data Murid'!$E" &amp; ROW($E32))=""), "", IF(ISNUMBER(SEARCH(TEXT(S$11,"mm/dd/yyyy"), INDIRECT("'Data Murid'!$E" &amp; ROW($E32)))), "✔", ""))</f>
        <v>#REF!</v>
      </c>
      <c r="T39" s="44" t="e" cm="1">
        <f t="array" aca="1" ref="T39" ca="1">IF(OR(T$11="", INDIRECT("'Data Murid'!$E" &amp; ROW($E32))=""), "", IF(ISNUMBER(SEARCH(TEXT(T$11,"mm/dd/yyyy"), INDIRECT("'Data Murid'!$E" &amp; ROW($E32)))), "✔", ""))</f>
        <v>#REF!</v>
      </c>
      <c r="U39" s="44" t="e" cm="1">
        <f t="array" aca="1" ref="U39" ca="1">IF(OR(U$11="", INDIRECT("'Data Murid'!$E" &amp; ROW($E32))=""), "", IF(ISNUMBER(SEARCH(TEXT(U$11,"mm/dd/yyyy"), INDIRECT("'Data Murid'!$E" &amp; ROW($E32)))), "✔", ""))</f>
        <v>#REF!</v>
      </c>
      <c r="V39" s="44" t="e" cm="1">
        <f t="array" aca="1" ref="V39" ca="1">IF(OR(V$11="", INDIRECT("'Data Murid'!$E" &amp; ROW($E32))=""), "", IF(ISNUMBER(SEARCH(TEXT(V$11,"mm/dd/yyyy"), INDIRECT("'Data Murid'!$E" &amp; ROW($E32)))), "✔", ""))</f>
        <v>#REF!</v>
      </c>
      <c r="W39" s="44" t="e" cm="1">
        <f t="array" aca="1" ref="W39" ca="1">IF(OR(W$11="", INDIRECT("'Data Murid'!$E" &amp; ROW($E32))=""), "", IF(ISNUMBER(SEARCH(TEXT(W$11,"mm/dd/yyyy"), INDIRECT("'Data Murid'!$E" &amp; ROW($E32)))), "✔", ""))</f>
        <v>#REF!</v>
      </c>
      <c r="X39" s="44" t="e" cm="1">
        <f t="array" aca="1" ref="X39" ca="1">IF(OR(X$11="", INDIRECT("'Data Murid'!$E" &amp; ROW($E32))=""), "", IF(ISNUMBER(SEARCH(TEXT(X$11,"mm/dd/yyyy"), INDIRECT("'Data Murid'!$E" &amp; ROW($E32)))), "✔", ""))</f>
        <v>#REF!</v>
      </c>
      <c r="Y39" s="44" t="e" cm="1">
        <f t="array" aca="1" ref="Y39" ca="1">IF(OR(Y$11="", INDIRECT("'Data Murid'!$E" &amp; ROW($E32))=""), "", IF(ISNUMBER(SEARCH(TEXT(Y$11,"mm/dd/yyyy"), INDIRECT("'Data Murid'!$E" &amp; ROW($E32)))), "✔", ""))</f>
        <v>#REF!</v>
      </c>
      <c r="Z39" s="44" t="e" cm="1">
        <f t="array" aca="1" ref="Z39" ca="1">IF(OR(Z$11="", INDIRECT("'Data Murid'!$E" &amp; ROW($E32))=""), "", IF(ISNUMBER(SEARCH(TEXT(Z$11,"mm/dd/yyyy"), INDIRECT("'Data Murid'!$E" &amp; ROW($E32)))), "✔", ""))</f>
        <v>#REF!</v>
      </c>
      <c r="AA39" s="44" t="e" cm="1">
        <f t="array" aca="1" ref="AA39" ca="1">IF(OR(AA$11="", INDIRECT("'Data Murid'!$E" &amp; ROW($E32))=""), "", IF(ISNUMBER(SEARCH(TEXT(AA$11,"mm/dd/yyyy"), INDIRECT("'Data Murid'!$E" &amp; ROW($E32)))), "✔", ""))</f>
        <v>#REF!</v>
      </c>
      <c r="AB39" s="44" t="e" cm="1">
        <f t="array" aca="1" ref="AB39" ca="1">IF(OR(AB$11="", INDIRECT("'Data Murid'!$E" &amp; ROW($E32))=""), "", IF(ISNUMBER(SEARCH(TEXT(AB$11,"mm/dd/yyyy"), INDIRECT("'Data Murid'!$E" &amp; ROW($E32)))), "✔", ""))</f>
        <v>#REF!</v>
      </c>
      <c r="AC39" s="44" t="e" cm="1">
        <f t="array" aca="1" ref="AC39" ca="1">IF(OR(AC$11="", INDIRECT("'Data Murid'!$E" &amp; ROW($E32))=""), "", IF(ISNUMBER(SEARCH(TEXT(AC$11,"mm/dd/yyyy"), INDIRECT("'Data Murid'!$E" &amp; ROW($E32)))), "✔", ""))</f>
        <v>#REF!</v>
      </c>
      <c r="AD39" s="44" t="e" cm="1">
        <f t="array" aca="1" ref="AD39" ca="1">IF(OR(AD$11="", INDIRECT("'Data Murid'!$E" &amp; ROW($E32))=""), "", IF(ISNUMBER(SEARCH(TEXT(AD$11,"mm/dd/yyyy"), INDIRECT("'Data Murid'!$E" &amp; ROW($E32)))), "✔", ""))</f>
        <v>#REF!</v>
      </c>
      <c r="AE39" s="44" t="e" cm="1">
        <f t="array" aca="1" ref="AE39" ca="1">IF(OR(AE$11="", INDIRECT("'Data Murid'!$E" &amp; ROW($E32))=""), "", IF(ISNUMBER(SEARCH(TEXT(AE$11,"mm/dd/yyyy"), INDIRECT("'Data Murid'!$E" &amp; ROW($E32)))), "✔", ""))</f>
        <v>#REF!</v>
      </c>
      <c r="AF39" s="44" t="e" cm="1">
        <f t="array" aca="1" ref="AF39" ca="1">IF(OR(AF$11="", INDIRECT("'Data Murid'!$E" &amp; ROW($E32))=""), "", IF(ISNUMBER(SEARCH(TEXT(AF$11,"mm/dd/yyyy"), INDIRECT("'Data Murid'!$E" &amp; ROW($E32)))), "✔", ""))</f>
        <v>#REF!</v>
      </c>
      <c r="AG39" s="44" t="e" cm="1">
        <f t="array" aca="1" ref="AG39" ca="1">IF(OR(AG$11="", INDIRECT("'Data Murid'!$E" &amp; ROW($E32))=""), "", IF(ISNUMBER(SEARCH(TEXT(AG$11,"mm/dd/yyyy"), INDIRECT("'Data Murid'!$E" &amp; ROW($E32)))), "✔", ""))</f>
        <v>#REF!</v>
      </c>
      <c r="AH39" s="44" t="e" cm="1">
        <f t="array" aca="1" ref="AH39" ca="1">IF(OR(AH$11="", INDIRECT("'Data Murid'!$E" &amp; ROW($E32))=""), "", IF(ISNUMBER(SEARCH(TEXT(AH$11,"mm/dd/yyyy"), INDIRECT("'Data Murid'!$E" &amp; ROW($E32)))), "✔", ""))</f>
        <v>#REF!</v>
      </c>
      <c r="AI39" s="44" t="e" cm="1">
        <f t="array" aca="1" ref="AI39" ca="1">IF(OR(AI$11="", INDIRECT("'Data Murid'!$E" &amp; ROW($E32))=""), "", IF(ISNUMBER(SEARCH(TEXT(AI$11,"mm/dd/yyyy"), INDIRECT("'Data Murid'!$E" &amp; ROW($E32)))), "✔", ""))</f>
        <v>#REF!</v>
      </c>
      <c r="AJ39" s="40">
        <f t="shared" ca="1" si="2"/>
        <v>0</v>
      </c>
    </row>
    <row r="40" spans="1:36" ht="14.25" customHeight="1" x14ac:dyDescent="0.25">
      <c r="A40" s="27">
        <v>26</v>
      </c>
      <c r="B40" s="25" t="e">
        <f ca="1">'rekap absensi seluruhnya'!B45</f>
        <v>#REF!</v>
      </c>
      <c r="C40" s="52" t="e">
        <f ca="1">'rekap absensi seluruhnya'!C45</f>
        <v>#REF!</v>
      </c>
      <c r="D40" s="25" t="e">
        <f ca="1">'rekap absensi seluruhnya'!D45</f>
        <v>#REF!</v>
      </c>
      <c r="E40" s="44" t="e" cm="1">
        <f t="array" aca="1" ref="E40" ca="1">IF(OR(E$11="", INDIRECT("'Data Murid'!$E" &amp; ROW($E33))=""), "", IF(ISNUMBER(SEARCH(TEXT(E$11,"mm/dd/yyyy"), INDIRECT("'Data Murid'!$E" &amp; ROW($E33)))), "✔", ""))</f>
        <v>#REF!</v>
      </c>
      <c r="F40" s="44" t="e" cm="1">
        <f t="array" aca="1" ref="F40" ca="1">IF(OR(F$11="", INDIRECT("'Data Murid'!$E" &amp; ROW($E33))=""), "", IF(ISNUMBER(SEARCH(TEXT(F$11,"mm/dd/yyyy"), INDIRECT("'Data Murid'!$E" &amp; ROW($E33)))), "✔", ""))</f>
        <v>#REF!</v>
      </c>
      <c r="G40" s="44" t="e" cm="1">
        <f t="array" aca="1" ref="G40" ca="1">IF(OR(G$11="", INDIRECT("'Data Murid'!$E" &amp; ROW($E33))=""), "", IF(ISNUMBER(SEARCH(TEXT(G$11,"mm/dd/yyyy"), INDIRECT("'Data Murid'!$E" &amp; ROW($E33)))), "✔", ""))</f>
        <v>#REF!</v>
      </c>
      <c r="H40" s="44" t="e" cm="1">
        <f t="array" aca="1" ref="H40" ca="1">IF(OR(H$11="", INDIRECT("'Data Murid'!$E" &amp; ROW($E33))=""), "", IF(ISNUMBER(SEARCH(TEXT(H$11,"mm/dd/yyyy"), INDIRECT("'Data Murid'!$E" &amp; ROW($E33)))), "✔", ""))</f>
        <v>#REF!</v>
      </c>
      <c r="I40" s="44" t="e" cm="1">
        <f t="array" aca="1" ref="I40" ca="1">IF(OR(I$11="", INDIRECT("'Data Murid'!$E" &amp; ROW($E33))=""), "", IF(ISNUMBER(SEARCH(TEXT(I$11,"mm/dd/yyyy"), INDIRECT("'Data Murid'!$E" &amp; ROW($E33)))), "✔", ""))</f>
        <v>#REF!</v>
      </c>
      <c r="J40" s="44" t="e" cm="1">
        <f t="array" aca="1" ref="J40" ca="1">IF(OR(J$11="", INDIRECT("'Data Murid'!$E" &amp; ROW($E33))=""), "", IF(ISNUMBER(SEARCH(TEXT(J$11,"mm/dd/yyyy"), INDIRECT("'Data Murid'!$E" &amp; ROW($E33)))), "✔", ""))</f>
        <v>#REF!</v>
      </c>
      <c r="K40" s="44" t="e" cm="1">
        <f t="array" aca="1" ref="K40" ca="1">IF(OR(K$11="", INDIRECT("'Data Murid'!$E" &amp; ROW($E33))=""), "", IF(ISNUMBER(SEARCH(TEXT(K$11,"mm/dd/yyyy"), INDIRECT("'Data Murid'!$E" &amp; ROW($E33)))), "✔", ""))</f>
        <v>#REF!</v>
      </c>
      <c r="L40" s="44" t="e" cm="1">
        <f t="array" aca="1" ref="L40" ca="1">IF(OR(L$11="", INDIRECT("'Data Murid'!$E" &amp; ROW($E33))=""), "", IF(ISNUMBER(SEARCH(TEXT(L$11,"mm/dd/yyyy"), INDIRECT("'Data Murid'!$E" &amp; ROW($E33)))), "✔", ""))</f>
        <v>#REF!</v>
      </c>
      <c r="M40" s="44" t="e" cm="1">
        <f t="array" aca="1" ref="M40" ca="1">IF(OR(M$11="", INDIRECT("'Data Murid'!$E" &amp; ROW($E33))=""), "", IF(ISNUMBER(SEARCH(TEXT(M$11,"mm/dd/yyyy"), INDIRECT("'Data Murid'!$E" &amp; ROW($E33)))), "✔", ""))</f>
        <v>#REF!</v>
      </c>
      <c r="N40" s="44" t="e" cm="1">
        <f t="array" aca="1" ref="N40" ca="1">IF(OR(N$11="", INDIRECT("'Data Murid'!$E" &amp; ROW($E33))=""), "", IF(ISNUMBER(SEARCH(TEXT(N$11,"mm/dd/yyyy"), INDIRECT("'Data Murid'!$E" &amp; ROW($E33)))), "✔", ""))</f>
        <v>#REF!</v>
      </c>
      <c r="O40" s="44" t="e" cm="1">
        <f t="array" aca="1" ref="O40" ca="1">IF(OR(O$11="", INDIRECT("'Data Murid'!$E" &amp; ROW($E33))=""), "", IF(ISNUMBER(SEARCH(TEXT(O$11,"mm/dd/yyyy"), INDIRECT("'Data Murid'!$E" &amp; ROW($E33)))), "✔", ""))</f>
        <v>#REF!</v>
      </c>
      <c r="P40" s="44" t="e" cm="1">
        <f t="array" aca="1" ref="P40" ca="1">IF(OR(P$11="", INDIRECT("'Data Murid'!$E" &amp; ROW($E33))=""), "", IF(ISNUMBER(SEARCH(TEXT(P$11,"mm/dd/yyyy"), INDIRECT("'Data Murid'!$E" &amp; ROW($E33)))), "✔", ""))</f>
        <v>#REF!</v>
      </c>
      <c r="Q40" s="44" t="e" cm="1">
        <f t="array" aca="1" ref="Q40" ca="1">IF(OR(Q$11="", INDIRECT("'Data Murid'!$E" &amp; ROW($E33))=""), "", IF(ISNUMBER(SEARCH(TEXT(Q$11,"mm/dd/yyyy"), INDIRECT("'Data Murid'!$E" &amp; ROW($E33)))), "✔", ""))</f>
        <v>#REF!</v>
      </c>
      <c r="R40" s="44" t="e" cm="1">
        <f t="array" aca="1" ref="R40" ca="1">IF(OR(R$11="", INDIRECT("'Data Murid'!$E" &amp; ROW($E33))=""), "", IF(ISNUMBER(SEARCH(TEXT(R$11,"mm/dd/yyyy"), INDIRECT("'Data Murid'!$E" &amp; ROW($E33)))), "✔", ""))</f>
        <v>#REF!</v>
      </c>
      <c r="S40" s="44" t="e" cm="1">
        <f t="array" aca="1" ref="S40" ca="1">IF(OR(S$11="", INDIRECT("'Data Murid'!$E" &amp; ROW($E33))=""), "", IF(ISNUMBER(SEARCH(TEXT(S$11,"mm/dd/yyyy"), INDIRECT("'Data Murid'!$E" &amp; ROW($E33)))), "✔", ""))</f>
        <v>#REF!</v>
      </c>
      <c r="T40" s="44" t="e" cm="1">
        <f t="array" aca="1" ref="T40" ca="1">IF(OR(T$11="", INDIRECT("'Data Murid'!$E" &amp; ROW($E33))=""), "", IF(ISNUMBER(SEARCH(TEXT(T$11,"mm/dd/yyyy"), INDIRECT("'Data Murid'!$E" &amp; ROW($E33)))), "✔", ""))</f>
        <v>#REF!</v>
      </c>
      <c r="U40" s="44" t="e" cm="1">
        <f t="array" aca="1" ref="U40" ca="1">IF(OR(U$11="", INDIRECT("'Data Murid'!$E" &amp; ROW($E33))=""), "", IF(ISNUMBER(SEARCH(TEXT(U$11,"mm/dd/yyyy"), INDIRECT("'Data Murid'!$E" &amp; ROW($E33)))), "✔", ""))</f>
        <v>#REF!</v>
      </c>
      <c r="V40" s="44" t="e" cm="1">
        <f t="array" aca="1" ref="V40" ca="1">IF(OR(V$11="", INDIRECT("'Data Murid'!$E" &amp; ROW($E33))=""), "", IF(ISNUMBER(SEARCH(TEXT(V$11,"mm/dd/yyyy"), INDIRECT("'Data Murid'!$E" &amp; ROW($E33)))), "✔", ""))</f>
        <v>#REF!</v>
      </c>
      <c r="W40" s="44" t="e" cm="1">
        <f t="array" aca="1" ref="W40" ca="1">IF(OR(W$11="", INDIRECT("'Data Murid'!$E" &amp; ROW($E33))=""), "", IF(ISNUMBER(SEARCH(TEXT(W$11,"mm/dd/yyyy"), INDIRECT("'Data Murid'!$E" &amp; ROW($E33)))), "✔", ""))</f>
        <v>#REF!</v>
      </c>
      <c r="X40" s="44" t="e" cm="1">
        <f t="array" aca="1" ref="X40" ca="1">IF(OR(X$11="", INDIRECT("'Data Murid'!$E" &amp; ROW($E33))=""), "", IF(ISNUMBER(SEARCH(TEXT(X$11,"mm/dd/yyyy"), INDIRECT("'Data Murid'!$E" &amp; ROW($E33)))), "✔", ""))</f>
        <v>#REF!</v>
      </c>
      <c r="Y40" s="44" t="e" cm="1">
        <f t="array" aca="1" ref="Y40" ca="1">IF(OR(Y$11="", INDIRECT("'Data Murid'!$E" &amp; ROW($E33))=""), "", IF(ISNUMBER(SEARCH(TEXT(Y$11,"mm/dd/yyyy"), INDIRECT("'Data Murid'!$E" &amp; ROW($E33)))), "✔", ""))</f>
        <v>#REF!</v>
      </c>
      <c r="Z40" s="44" t="e" cm="1">
        <f t="array" aca="1" ref="Z40" ca="1">IF(OR(Z$11="", INDIRECT("'Data Murid'!$E" &amp; ROW($E33))=""), "", IF(ISNUMBER(SEARCH(TEXT(Z$11,"mm/dd/yyyy"), INDIRECT("'Data Murid'!$E" &amp; ROW($E33)))), "✔", ""))</f>
        <v>#REF!</v>
      </c>
      <c r="AA40" s="44" t="e" cm="1">
        <f t="array" aca="1" ref="AA40" ca="1">IF(OR(AA$11="", INDIRECT("'Data Murid'!$E" &amp; ROW($E33))=""), "", IF(ISNUMBER(SEARCH(TEXT(AA$11,"mm/dd/yyyy"), INDIRECT("'Data Murid'!$E" &amp; ROW($E33)))), "✔", ""))</f>
        <v>#REF!</v>
      </c>
      <c r="AB40" s="44" t="e" cm="1">
        <f t="array" aca="1" ref="AB40" ca="1">IF(OR(AB$11="", INDIRECT("'Data Murid'!$E" &amp; ROW($E33))=""), "", IF(ISNUMBER(SEARCH(TEXT(AB$11,"mm/dd/yyyy"), INDIRECT("'Data Murid'!$E" &amp; ROW($E33)))), "✔", ""))</f>
        <v>#REF!</v>
      </c>
      <c r="AC40" s="44" t="e" cm="1">
        <f t="array" aca="1" ref="AC40" ca="1">IF(OR(AC$11="", INDIRECT("'Data Murid'!$E" &amp; ROW($E33))=""), "", IF(ISNUMBER(SEARCH(TEXT(AC$11,"mm/dd/yyyy"), INDIRECT("'Data Murid'!$E" &amp; ROW($E33)))), "✔", ""))</f>
        <v>#REF!</v>
      </c>
      <c r="AD40" s="44" t="e" cm="1">
        <f t="array" aca="1" ref="AD40" ca="1">IF(OR(AD$11="", INDIRECT("'Data Murid'!$E" &amp; ROW($E33))=""), "", IF(ISNUMBER(SEARCH(TEXT(AD$11,"mm/dd/yyyy"), INDIRECT("'Data Murid'!$E" &amp; ROW($E33)))), "✔", ""))</f>
        <v>#REF!</v>
      </c>
      <c r="AE40" s="44" t="e" cm="1">
        <f t="array" aca="1" ref="AE40" ca="1">IF(OR(AE$11="", INDIRECT("'Data Murid'!$E" &amp; ROW($E33))=""), "", IF(ISNUMBER(SEARCH(TEXT(AE$11,"mm/dd/yyyy"), INDIRECT("'Data Murid'!$E" &amp; ROW($E33)))), "✔", ""))</f>
        <v>#REF!</v>
      </c>
      <c r="AF40" s="44" t="e" cm="1">
        <f t="array" aca="1" ref="AF40" ca="1">IF(OR(AF$11="", INDIRECT("'Data Murid'!$E" &amp; ROW($E33))=""), "", IF(ISNUMBER(SEARCH(TEXT(AF$11,"mm/dd/yyyy"), INDIRECT("'Data Murid'!$E" &amp; ROW($E33)))), "✔", ""))</f>
        <v>#REF!</v>
      </c>
      <c r="AG40" s="44" t="e" cm="1">
        <f t="array" aca="1" ref="AG40" ca="1">IF(OR(AG$11="", INDIRECT("'Data Murid'!$E" &amp; ROW($E33))=""), "", IF(ISNUMBER(SEARCH(TEXT(AG$11,"mm/dd/yyyy"), INDIRECT("'Data Murid'!$E" &amp; ROW($E33)))), "✔", ""))</f>
        <v>#REF!</v>
      </c>
      <c r="AH40" s="44" t="e" cm="1">
        <f t="array" aca="1" ref="AH40" ca="1">IF(OR(AH$11="", INDIRECT("'Data Murid'!$E" &amp; ROW($E33))=""), "", IF(ISNUMBER(SEARCH(TEXT(AH$11,"mm/dd/yyyy"), INDIRECT("'Data Murid'!$E" &amp; ROW($E33)))), "✔", ""))</f>
        <v>#REF!</v>
      </c>
      <c r="AI40" s="44" t="e" cm="1">
        <f t="array" aca="1" ref="AI40" ca="1">IF(OR(AI$11="", INDIRECT("'Data Murid'!$E" &amp; ROW($E33))=""), "", IF(ISNUMBER(SEARCH(TEXT(AI$11,"mm/dd/yyyy"), INDIRECT("'Data Murid'!$E" &amp; ROW($E33)))), "✔", ""))</f>
        <v>#REF!</v>
      </c>
      <c r="AJ40" s="40">
        <f t="shared" ca="1" si="2"/>
        <v>0</v>
      </c>
    </row>
    <row r="41" spans="1:36" ht="14.25" customHeight="1" x14ac:dyDescent="0.25">
      <c r="A41" s="27">
        <v>27</v>
      </c>
      <c r="B41" s="25" t="e">
        <f ca="1">'rekap absensi seluruhnya'!B46</f>
        <v>#REF!</v>
      </c>
      <c r="C41" s="52" t="e">
        <f ca="1">'rekap absensi seluruhnya'!C46</f>
        <v>#REF!</v>
      </c>
      <c r="D41" s="25" t="e">
        <f ca="1">'rekap absensi seluruhnya'!D46</f>
        <v>#REF!</v>
      </c>
      <c r="E41" s="44" t="e" cm="1">
        <f t="array" aca="1" ref="E41" ca="1">IF(OR(E$11="", INDIRECT("'Data Murid'!$E" &amp; ROW($E34))=""), "", IF(ISNUMBER(SEARCH(TEXT(E$11,"mm/dd/yyyy"), INDIRECT("'Data Murid'!$E" &amp; ROW($E34)))), "✔", ""))</f>
        <v>#REF!</v>
      </c>
      <c r="F41" s="44" t="e" cm="1">
        <f t="array" aca="1" ref="F41" ca="1">IF(OR(F$11="", INDIRECT("'Data Murid'!$E" &amp; ROW($E34))=""), "", IF(ISNUMBER(SEARCH(TEXT(F$11,"mm/dd/yyyy"), INDIRECT("'Data Murid'!$E" &amp; ROW($E34)))), "✔", ""))</f>
        <v>#REF!</v>
      </c>
      <c r="G41" s="44" t="e" cm="1">
        <f t="array" aca="1" ref="G41" ca="1">IF(OR(G$11="", INDIRECT("'Data Murid'!$E" &amp; ROW($E34))=""), "", IF(ISNUMBER(SEARCH(TEXT(G$11,"mm/dd/yyyy"), INDIRECT("'Data Murid'!$E" &amp; ROW($E34)))), "✔", ""))</f>
        <v>#REF!</v>
      </c>
      <c r="H41" s="44" t="e" cm="1">
        <f t="array" aca="1" ref="H41" ca="1">IF(OR(H$11="", INDIRECT("'Data Murid'!$E" &amp; ROW($E34))=""), "", IF(ISNUMBER(SEARCH(TEXT(H$11,"mm/dd/yyyy"), INDIRECT("'Data Murid'!$E" &amp; ROW($E34)))), "✔", ""))</f>
        <v>#REF!</v>
      </c>
      <c r="I41" s="44" t="e" cm="1">
        <f t="array" aca="1" ref="I41" ca="1">IF(OR(I$11="", INDIRECT("'Data Murid'!$E" &amp; ROW($E34))=""), "", IF(ISNUMBER(SEARCH(TEXT(I$11,"mm/dd/yyyy"), INDIRECT("'Data Murid'!$E" &amp; ROW($E34)))), "✔", ""))</f>
        <v>#REF!</v>
      </c>
      <c r="J41" s="44" t="e" cm="1">
        <f t="array" aca="1" ref="J41" ca="1">IF(OR(J$11="", INDIRECT("'Data Murid'!$E" &amp; ROW($E34))=""), "", IF(ISNUMBER(SEARCH(TEXT(J$11,"mm/dd/yyyy"), INDIRECT("'Data Murid'!$E" &amp; ROW($E34)))), "✔", ""))</f>
        <v>#REF!</v>
      </c>
      <c r="K41" s="44" t="e" cm="1">
        <f t="array" aca="1" ref="K41" ca="1">IF(OR(K$11="", INDIRECT("'Data Murid'!$E" &amp; ROW($E34))=""), "", IF(ISNUMBER(SEARCH(TEXT(K$11,"mm/dd/yyyy"), INDIRECT("'Data Murid'!$E" &amp; ROW($E34)))), "✔", ""))</f>
        <v>#REF!</v>
      </c>
      <c r="L41" s="44" t="e" cm="1">
        <f t="array" aca="1" ref="L41" ca="1">IF(OR(L$11="", INDIRECT("'Data Murid'!$E" &amp; ROW($E34))=""), "", IF(ISNUMBER(SEARCH(TEXT(L$11,"mm/dd/yyyy"), INDIRECT("'Data Murid'!$E" &amp; ROW($E34)))), "✔", ""))</f>
        <v>#REF!</v>
      </c>
      <c r="M41" s="44" t="e" cm="1">
        <f t="array" aca="1" ref="M41" ca="1">IF(OR(M$11="", INDIRECT("'Data Murid'!$E" &amp; ROW($E34))=""), "", IF(ISNUMBER(SEARCH(TEXT(M$11,"mm/dd/yyyy"), INDIRECT("'Data Murid'!$E" &amp; ROW($E34)))), "✔", ""))</f>
        <v>#REF!</v>
      </c>
      <c r="N41" s="44" t="e" cm="1">
        <f t="array" aca="1" ref="N41" ca="1">IF(OR(N$11="", INDIRECT("'Data Murid'!$E" &amp; ROW($E34))=""), "", IF(ISNUMBER(SEARCH(TEXT(N$11,"mm/dd/yyyy"), INDIRECT("'Data Murid'!$E" &amp; ROW($E34)))), "✔", ""))</f>
        <v>#REF!</v>
      </c>
      <c r="O41" s="44" t="e" cm="1">
        <f t="array" aca="1" ref="O41" ca="1">IF(OR(O$11="", INDIRECT("'Data Murid'!$E" &amp; ROW($E34))=""), "", IF(ISNUMBER(SEARCH(TEXT(O$11,"mm/dd/yyyy"), INDIRECT("'Data Murid'!$E" &amp; ROW($E34)))), "✔", ""))</f>
        <v>#REF!</v>
      </c>
      <c r="P41" s="44" t="e" cm="1">
        <f t="array" aca="1" ref="P41" ca="1">IF(OR(P$11="", INDIRECT("'Data Murid'!$E" &amp; ROW($E34))=""), "", IF(ISNUMBER(SEARCH(TEXT(P$11,"mm/dd/yyyy"), INDIRECT("'Data Murid'!$E" &amp; ROW($E34)))), "✔", ""))</f>
        <v>#REF!</v>
      </c>
      <c r="Q41" s="44" t="e" cm="1">
        <f t="array" aca="1" ref="Q41" ca="1">IF(OR(Q$11="", INDIRECT("'Data Murid'!$E" &amp; ROW($E34))=""), "", IF(ISNUMBER(SEARCH(TEXT(Q$11,"mm/dd/yyyy"), INDIRECT("'Data Murid'!$E" &amp; ROW($E34)))), "✔", ""))</f>
        <v>#REF!</v>
      </c>
      <c r="R41" s="44" t="e" cm="1">
        <f t="array" aca="1" ref="R41" ca="1">IF(OR(R$11="", INDIRECT("'Data Murid'!$E" &amp; ROW($E34))=""), "", IF(ISNUMBER(SEARCH(TEXT(R$11,"mm/dd/yyyy"), INDIRECT("'Data Murid'!$E" &amp; ROW($E34)))), "✔", ""))</f>
        <v>#REF!</v>
      </c>
      <c r="S41" s="44" t="e" cm="1">
        <f t="array" aca="1" ref="S41" ca="1">IF(OR(S$11="", INDIRECT("'Data Murid'!$E" &amp; ROW($E34))=""), "", IF(ISNUMBER(SEARCH(TEXT(S$11,"mm/dd/yyyy"), INDIRECT("'Data Murid'!$E" &amp; ROW($E34)))), "✔", ""))</f>
        <v>#REF!</v>
      </c>
      <c r="T41" s="44" t="e" cm="1">
        <f t="array" aca="1" ref="T41" ca="1">IF(OR(T$11="", INDIRECT("'Data Murid'!$E" &amp; ROW($E34))=""), "", IF(ISNUMBER(SEARCH(TEXT(T$11,"mm/dd/yyyy"), INDIRECT("'Data Murid'!$E" &amp; ROW($E34)))), "✔", ""))</f>
        <v>#REF!</v>
      </c>
      <c r="U41" s="44" t="e" cm="1">
        <f t="array" aca="1" ref="U41" ca="1">IF(OR(U$11="", INDIRECT("'Data Murid'!$E" &amp; ROW($E34))=""), "", IF(ISNUMBER(SEARCH(TEXT(U$11,"mm/dd/yyyy"), INDIRECT("'Data Murid'!$E" &amp; ROW($E34)))), "✔", ""))</f>
        <v>#REF!</v>
      </c>
      <c r="V41" s="44" t="e" cm="1">
        <f t="array" aca="1" ref="V41" ca="1">IF(OR(V$11="", INDIRECT("'Data Murid'!$E" &amp; ROW($E34))=""), "", IF(ISNUMBER(SEARCH(TEXT(V$11,"mm/dd/yyyy"), INDIRECT("'Data Murid'!$E" &amp; ROW($E34)))), "✔", ""))</f>
        <v>#REF!</v>
      </c>
      <c r="W41" s="44" t="e" cm="1">
        <f t="array" aca="1" ref="W41" ca="1">IF(OR(W$11="", INDIRECT("'Data Murid'!$E" &amp; ROW($E34))=""), "", IF(ISNUMBER(SEARCH(TEXT(W$11,"mm/dd/yyyy"), INDIRECT("'Data Murid'!$E" &amp; ROW($E34)))), "✔", ""))</f>
        <v>#REF!</v>
      </c>
      <c r="X41" s="44" t="e" cm="1">
        <f t="array" aca="1" ref="X41" ca="1">IF(OR(X$11="", INDIRECT("'Data Murid'!$E" &amp; ROW($E34))=""), "", IF(ISNUMBER(SEARCH(TEXT(X$11,"mm/dd/yyyy"), INDIRECT("'Data Murid'!$E" &amp; ROW($E34)))), "✔", ""))</f>
        <v>#REF!</v>
      </c>
      <c r="Y41" s="44" t="e" cm="1">
        <f t="array" aca="1" ref="Y41" ca="1">IF(OR(Y$11="", INDIRECT("'Data Murid'!$E" &amp; ROW($E34))=""), "", IF(ISNUMBER(SEARCH(TEXT(Y$11,"mm/dd/yyyy"), INDIRECT("'Data Murid'!$E" &amp; ROW($E34)))), "✔", ""))</f>
        <v>#REF!</v>
      </c>
      <c r="Z41" s="44" t="e" cm="1">
        <f t="array" aca="1" ref="Z41" ca="1">IF(OR(Z$11="", INDIRECT("'Data Murid'!$E" &amp; ROW($E34))=""), "", IF(ISNUMBER(SEARCH(TEXT(Z$11,"mm/dd/yyyy"), INDIRECT("'Data Murid'!$E" &amp; ROW($E34)))), "✔", ""))</f>
        <v>#REF!</v>
      </c>
      <c r="AA41" s="44" t="e" cm="1">
        <f t="array" aca="1" ref="AA41" ca="1">IF(OR(AA$11="", INDIRECT("'Data Murid'!$E" &amp; ROW($E34))=""), "", IF(ISNUMBER(SEARCH(TEXT(AA$11,"mm/dd/yyyy"), INDIRECT("'Data Murid'!$E" &amp; ROW($E34)))), "✔", ""))</f>
        <v>#REF!</v>
      </c>
      <c r="AB41" s="44" t="e" cm="1">
        <f t="array" aca="1" ref="AB41" ca="1">IF(OR(AB$11="", INDIRECT("'Data Murid'!$E" &amp; ROW($E34))=""), "", IF(ISNUMBER(SEARCH(TEXT(AB$11,"mm/dd/yyyy"), INDIRECT("'Data Murid'!$E" &amp; ROW($E34)))), "✔", ""))</f>
        <v>#REF!</v>
      </c>
      <c r="AC41" s="44" t="e" cm="1">
        <f t="array" aca="1" ref="AC41" ca="1">IF(OR(AC$11="", INDIRECT("'Data Murid'!$E" &amp; ROW($E34))=""), "", IF(ISNUMBER(SEARCH(TEXT(AC$11,"mm/dd/yyyy"), INDIRECT("'Data Murid'!$E" &amp; ROW($E34)))), "✔", ""))</f>
        <v>#REF!</v>
      </c>
      <c r="AD41" s="44" t="e" cm="1">
        <f t="array" aca="1" ref="AD41" ca="1">IF(OR(AD$11="", INDIRECT("'Data Murid'!$E" &amp; ROW($E34))=""), "", IF(ISNUMBER(SEARCH(TEXT(AD$11,"mm/dd/yyyy"), INDIRECT("'Data Murid'!$E" &amp; ROW($E34)))), "✔", ""))</f>
        <v>#REF!</v>
      </c>
      <c r="AE41" s="44" t="e" cm="1">
        <f t="array" aca="1" ref="AE41" ca="1">IF(OR(AE$11="", INDIRECT("'Data Murid'!$E" &amp; ROW($E34))=""), "", IF(ISNUMBER(SEARCH(TEXT(AE$11,"mm/dd/yyyy"), INDIRECT("'Data Murid'!$E" &amp; ROW($E34)))), "✔", ""))</f>
        <v>#REF!</v>
      </c>
      <c r="AF41" s="44" t="e" cm="1">
        <f t="array" aca="1" ref="AF41" ca="1">IF(OR(AF$11="", INDIRECT("'Data Murid'!$E" &amp; ROW($E34))=""), "", IF(ISNUMBER(SEARCH(TEXT(AF$11,"mm/dd/yyyy"), INDIRECT("'Data Murid'!$E" &amp; ROW($E34)))), "✔", ""))</f>
        <v>#REF!</v>
      </c>
      <c r="AG41" s="44" t="e" cm="1">
        <f t="array" aca="1" ref="AG41" ca="1">IF(OR(AG$11="", INDIRECT("'Data Murid'!$E" &amp; ROW($E34))=""), "", IF(ISNUMBER(SEARCH(TEXT(AG$11,"mm/dd/yyyy"), INDIRECT("'Data Murid'!$E" &amp; ROW($E34)))), "✔", ""))</f>
        <v>#REF!</v>
      </c>
      <c r="AH41" s="44" t="e" cm="1">
        <f t="array" aca="1" ref="AH41" ca="1">IF(OR(AH$11="", INDIRECT("'Data Murid'!$E" &amp; ROW($E34))=""), "", IF(ISNUMBER(SEARCH(TEXT(AH$11,"mm/dd/yyyy"), INDIRECT("'Data Murid'!$E" &amp; ROW($E34)))), "✔", ""))</f>
        <v>#REF!</v>
      </c>
      <c r="AI41" s="44" t="e" cm="1">
        <f t="array" aca="1" ref="AI41" ca="1">IF(OR(AI$11="", INDIRECT("'Data Murid'!$E" &amp; ROW($E34))=""), "", IF(ISNUMBER(SEARCH(TEXT(AI$11,"mm/dd/yyyy"), INDIRECT("'Data Murid'!$E" &amp; ROW($E34)))), "✔", ""))</f>
        <v>#REF!</v>
      </c>
      <c r="AJ41" s="40">
        <f t="shared" ca="1" si="2"/>
        <v>0</v>
      </c>
    </row>
    <row r="42" spans="1:36" ht="14.25" customHeight="1" x14ac:dyDescent="0.25">
      <c r="A42" s="27">
        <v>28</v>
      </c>
      <c r="B42" s="25" t="e">
        <f ca="1">'rekap absensi seluruhnya'!B47</f>
        <v>#REF!</v>
      </c>
      <c r="C42" s="52" t="e">
        <f ca="1">'rekap absensi seluruhnya'!C47</f>
        <v>#REF!</v>
      </c>
      <c r="D42" s="25" t="e">
        <f ca="1">'rekap absensi seluruhnya'!D47</f>
        <v>#REF!</v>
      </c>
      <c r="E42" s="44" t="e" cm="1">
        <f t="array" aca="1" ref="E42" ca="1">IF(OR(E$11="", INDIRECT("'Data Murid'!$E" &amp; ROW($E35))=""), "", IF(ISNUMBER(SEARCH(TEXT(E$11,"mm/dd/yyyy"), INDIRECT("'Data Murid'!$E" &amp; ROW($E35)))), "✔", ""))</f>
        <v>#REF!</v>
      </c>
      <c r="F42" s="44" t="e" cm="1">
        <f t="array" aca="1" ref="F42" ca="1">IF(OR(F$11="", INDIRECT("'Data Murid'!$E" &amp; ROW($E35))=""), "", IF(ISNUMBER(SEARCH(TEXT(F$11,"mm/dd/yyyy"), INDIRECT("'Data Murid'!$E" &amp; ROW($E35)))), "✔", ""))</f>
        <v>#REF!</v>
      </c>
      <c r="G42" s="44" t="e" cm="1">
        <f t="array" aca="1" ref="G42" ca="1">IF(OR(G$11="", INDIRECT("'Data Murid'!$E" &amp; ROW($E35))=""), "", IF(ISNUMBER(SEARCH(TEXT(G$11,"mm/dd/yyyy"), INDIRECT("'Data Murid'!$E" &amp; ROW($E35)))), "✔", ""))</f>
        <v>#REF!</v>
      </c>
      <c r="H42" s="44" t="e" cm="1">
        <f t="array" aca="1" ref="H42" ca="1">IF(OR(H$11="", INDIRECT("'Data Murid'!$E" &amp; ROW($E35))=""), "", IF(ISNUMBER(SEARCH(TEXT(H$11,"mm/dd/yyyy"), INDIRECT("'Data Murid'!$E" &amp; ROW($E35)))), "✔", ""))</f>
        <v>#REF!</v>
      </c>
      <c r="I42" s="44" t="e" cm="1">
        <f t="array" aca="1" ref="I42" ca="1">IF(OR(I$11="", INDIRECT("'Data Murid'!$E" &amp; ROW($E35))=""), "", IF(ISNUMBER(SEARCH(TEXT(I$11,"mm/dd/yyyy"), INDIRECT("'Data Murid'!$E" &amp; ROW($E35)))), "✔", ""))</f>
        <v>#REF!</v>
      </c>
      <c r="J42" s="44" t="e" cm="1">
        <f t="array" aca="1" ref="J42" ca="1">IF(OR(J$11="", INDIRECT("'Data Murid'!$E" &amp; ROW($E35))=""), "", IF(ISNUMBER(SEARCH(TEXT(J$11,"mm/dd/yyyy"), INDIRECT("'Data Murid'!$E" &amp; ROW($E35)))), "✔", ""))</f>
        <v>#REF!</v>
      </c>
      <c r="K42" s="44" t="e" cm="1">
        <f t="array" aca="1" ref="K42" ca="1">IF(OR(K$11="", INDIRECT("'Data Murid'!$E" &amp; ROW($E35))=""), "", IF(ISNUMBER(SEARCH(TEXT(K$11,"mm/dd/yyyy"), INDIRECT("'Data Murid'!$E" &amp; ROW($E35)))), "✔", ""))</f>
        <v>#REF!</v>
      </c>
      <c r="L42" s="44" t="e" cm="1">
        <f t="array" aca="1" ref="L42" ca="1">IF(OR(L$11="", INDIRECT("'Data Murid'!$E" &amp; ROW($E35))=""), "", IF(ISNUMBER(SEARCH(TEXT(L$11,"mm/dd/yyyy"), INDIRECT("'Data Murid'!$E" &amp; ROW($E35)))), "✔", ""))</f>
        <v>#REF!</v>
      </c>
      <c r="M42" s="44" t="e" cm="1">
        <f t="array" aca="1" ref="M42" ca="1">IF(OR(M$11="", INDIRECT("'Data Murid'!$E" &amp; ROW($E35))=""), "", IF(ISNUMBER(SEARCH(TEXT(M$11,"mm/dd/yyyy"), INDIRECT("'Data Murid'!$E" &amp; ROW($E35)))), "✔", ""))</f>
        <v>#REF!</v>
      </c>
      <c r="N42" s="44" t="e" cm="1">
        <f t="array" aca="1" ref="N42" ca="1">IF(OR(N$11="", INDIRECT("'Data Murid'!$E" &amp; ROW($E35))=""), "", IF(ISNUMBER(SEARCH(TEXT(N$11,"mm/dd/yyyy"), INDIRECT("'Data Murid'!$E" &amp; ROW($E35)))), "✔", ""))</f>
        <v>#REF!</v>
      </c>
      <c r="O42" s="44" t="e" cm="1">
        <f t="array" aca="1" ref="O42" ca="1">IF(OR(O$11="", INDIRECT("'Data Murid'!$E" &amp; ROW($E35))=""), "", IF(ISNUMBER(SEARCH(TEXT(O$11,"mm/dd/yyyy"), INDIRECT("'Data Murid'!$E" &amp; ROW($E35)))), "✔", ""))</f>
        <v>#REF!</v>
      </c>
      <c r="P42" s="44" t="e" cm="1">
        <f t="array" aca="1" ref="P42" ca="1">IF(OR(P$11="", INDIRECT("'Data Murid'!$E" &amp; ROW($E35))=""), "", IF(ISNUMBER(SEARCH(TEXT(P$11,"mm/dd/yyyy"), INDIRECT("'Data Murid'!$E" &amp; ROW($E35)))), "✔", ""))</f>
        <v>#REF!</v>
      </c>
      <c r="Q42" s="44" t="e" cm="1">
        <f t="array" aca="1" ref="Q42" ca="1">IF(OR(Q$11="", INDIRECT("'Data Murid'!$E" &amp; ROW($E35))=""), "", IF(ISNUMBER(SEARCH(TEXT(Q$11,"mm/dd/yyyy"), INDIRECT("'Data Murid'!$E" &amp; ROW($E35)))), "✔", ""))</f>
        <v>#REF!</v>
      </c>
      <c r="R42" s="44" t="e" cm="1">
        <f t="array" aca="1" ref="R42" ca="1">IF(OR(R$11="", INDIRECT("'Data Murid'!$E" &amp; ROW($E35))=""), "", IF(ISNUMBER(SEARCH(TEXT(R$11,"mm/dd/yyyy"), INDIRECT("'Data Murid'!$E" &amp; ROW($E35)))), "✔", ""))</f>
        <v>#REF!</v>
      </c>
      <c r="S42" s="44" t="e" cm="1">
        <f t="array" aca="1" ref="S42" ca="1">IF(OR(S$11="", INDIRECT("'Data Murid'!$E" &amp; ROW($E35))=""), "", IF(ISNUMBER(SEARCH(TEXT(S$11,"mm/dd/yyyy"), INDIRECT("'Data Murid'!$E" &amp; ROW($E35)))), "✔", ""))</f>
        <v>#REF!</v>
      </c>
      <c r="T42" s="44" t="e" cm="1">
        <f t="array" aca="1" ref="T42" ca="1">IF(OR(T$11="", INDIRECT("'Data Murid'!$E" &amp; ROW($E35))=""), "", IF(ISNUMBER(SEARCH(TEXT(T$11,"mm/dd/yyyy"), INDIRECT("'Data Murid'!$E" &amp; ROW($E35)))), "✔", ""))</f>
        <v>#REF!</v>
      </c>
      <c r="U42" s="44" t="e" cm="1">
        <f t="array" aca="1" ref="U42" ca="1">IF(OR(U$11="", INDIRECT("'Data Murid'!$E" &amp; ROW($E35))=""), "", IF(ISNUMBER(SEARCH(TEXT(U$11,"mm/dd/yyyy"), INDIRECT("'Data Murid'!$E" &amp; ROW($E35)))), "✔", ""))</f>
        <v>#REF!</v>
      </c>
      <c r="V42" s="44" t="e" cm="1">
        <f t="array" aca="1" ref="V42" ca="1">IF(OR(V$11="", INDIRECT("'Data Murid'!$E" &amp; ROW($E35))=""), "", IF(ISNUMBER(SEARCH(TEXT(V$11,"mm/dd/yyyy"), INDIRECT("'Data Murid'!$E" &amp; ROW($E35)))), "✔", ""))</f>
        <v>#REF!</v>
      </c>
      <c r="W42" s="44" t="e" cm="1">
        <f t="array" aca="1" ref="W42" ca="1">IF(OR(W$11="", INDIRECT("'Data Murid'!$E" &amp; ROW($E35))=""), "", IF(ISNUMBER(SEARCH(TEXT(W$11,"mm/dd/yyyy"), INDIRECT("'Data Murid'!$E" &amp; ROW($E35)))), "✔", ""))</f>
        <v>#REF!</v>
      </c>
      <c r="X42" s="44" t="e" cm="1">
        <f t="array" aca="1" ref="X42" ca="1">IF(OR(X$11="", INDIRECT("'Data Murid'!$E" &amp; ROW($E35))=""), "", IF(ISNUMBER(SEARCH(TEXT(X$11,"mm/dd/yyyy"), INDIRECT("'Data Murid'!$E" &amp; ROW($E35)))), "✔", ""))</f>
        <v>#REF!</v>
      </c>
      <c r="Y42" s="44" t="e" cm="1">
        <f t="array" aca="1" ref="Y42" ca="1">IF(OR(Y$11="", INDIRECT("'Data Murid'!$E" &amp; ROW($E35))=""), "", IF(ISNUMBER(SEARCH(TEXT(Y$11,"mm/dd/yyyy"), INDIRECT("'Data Murid'!$E" &amp; ROW($E35)))), "✔", ""))</f>
        <v>#REF!</v>
      </c>
      <c r="Z42" s="44" t="e" cm="1">
        <f t="array" aca="1" ref="Z42" ca="1">IF(OR(Z$11="", INDIRECT("'Data Murid'!$E" &amp; ROW($E35))=""), "", IF(ISNUMBER(SEARCH(TEXT(Z$11,"mm/dd/yyyy"), INDIRECT("'Data Murid'!$E" &amp; ROW($E35)))), "✔", ""))</f>
        <v>#REF!</v>
      </c>
      <c r="AA42" s="44" t="e" cm="1">
        <f t="array" aca="1" ref="AA42" ca="1">IF(OR(AA$11="", INDIRECT("'Data Murid'!$E" &amp; ROW($E35))=""), "", IF(ISNUMBER(SEARCH(TEXT(AA$11,"mm/dd/yyyy"), INDIRECT("'Data Murid'!$E" &amp; ROW($E35)))), "✔", ""))</f>
        <v>#REF!</v>
      </c>
      <c r="AB42" s="44" t="e" cm="1">
        <f t="array" aca="1" ref="AB42" ca="1">IF(OR(AB$11="", INDIRECT("'Data Murid'!$E" &amp; ROW($E35))=""), "", IF(ISNUMBER(SEARCH(TEXT(AB$11,"mm/dd/yyyy"), INDIRECT("'Data Murid'!$E" &amp; ROW($E35)))), "✔", ""))</f>
        <v>#REF!</v>
      </c>
      <c r="AC42" s="44" t="e" cm="1">
        <f t="array" aca="1" ref="AC42" ca="1">IF(OR(AC$11="", INDIRECT("'Data Murid'!$E" &amp; ROW($E35))=""), "", IF(ISNUMBER(SEARCH(TEXT(AC$11,"mm/dd/yyyy"), INDIRECT("'Data Murid'!$E" &amp; ROW($E35)))), "✔", ""))</f>
        <v>#REF!</v>
      </c>
      <c r="AD42" s="44" t="e" cm="1">
        <f t="array" aca="1" ref="AD42" ca="1">IF(OR(AD$11="", INDIRECT("'Data Murid'!$E" &amp; ROW($E35))=""), "", IF(ISNUMBER(SEARCH(TEXT(AD$11,"mm/dd/yyyy"), INDIRECT("'Data Murid'!$E" &amp; ROW($E35)))), "✔", ""))</f>
        <v>#REF!</v>
      </c>
      <c r="AE42" s="44" t="e" cm="1">
        <f t="array" aca="1" ref="AE42" ca="1">IF(OR(AE$11="", INDIRECT("'Data Murid'!$E" &amp; ROW($E35))=""), "", IF(ISNUMBER(SEARCH(TEXT(AE$11,"mm/dd/yyyy"), INDIRECT("'Data Murid'!$E" &amp; ROW($E35)))), "✔", ""))</f>
        <v>#REF!</v>
      </c>
      <c r="AF42" s="44" t="e" cm="1">
        <f t="array" aca="1" ref="AF42" ca="1">IF(OR(AF$11="", INDIRECT("'Data Murid'!$E" &amp; ROW($E35))=""), "", IF(ISNUMBER(SEARCH(TEXT(AF$11,"mm/dd/yyyy"), INDIRECT("'Data Murid'!$E" &amp; ROW($E35)))), "✔", ""))</f>
        <v>#REF!</v>
      </c>
      <c r="AG42" s="44" t="e" cm="1">
        <f t="array" aca="1" ref="AG42" ca="1">IF(OR(AG$11="", INDIRECT("'Data Murid'!$E" &amp; ROW($E35))=""), "", IF(ISNUMBER(SEARCH(TEXT(AG$11,"mm/dd/yyyy"), INDIRECT("'Data Murid'!$E" &amp; ROW($E35)))), "✔", ""))</f>
        <v>#REF!</v>
      </c>
      <c r="AH42" s="44" t="e" cm="1">
        <f t="array" aca="1" ref="AH42" ca="1">IF(OR(AH$11="", INDIRECT("'Data Murid'!$E" &amp; ROW($E35))=""), "", IF(ISNUMBER(SEARCH(TEXT(AH$11,"mm/dd/yyyy"), INDIRECT("'Data Murid'!$E" &amp; ROW($E35)))), "✔", ""))</f>
        <v>#REF!</v>
      </c>
      <c r="AI42" s="44" t="e" cm="1">
        <f t="array" aca="1" ref="AI42" ca="1">IF(OR(AI$11="", INDIRECT("'Data Murid'!$E" &amp; ROW($E35))=""), "", IF(ISNUMBER(SEARCH(TEXT(AI$11,"mm/dd/yyyy"), INDIRECT("'Data Murid'!$E" &amp; ROW($E35)))), "✔", ""))</f>
        <v>#REF!</v>
      </c>
      <c r="AJ42" s="40">
        <f t="shared" ca="1" si="2"/>
        <v>0</v>
      </c>
    </row>
    <row r="43" spans="1:36" ht="14.25" customHeight="1" x14ac:dyDescent="0.25">
      <c r="A43" s="27">
        <v>29</v>
      </c>
      <c r="B43" s="25" t="e">
        <f ca="1">'rekap absensi seluruhnya'!B48</f>
        <v>#REF!</v>
      </c>
      <c r="C43" s="52" t="e">
        <f ca="1">'rekap absensi seluruhnya'!C48</f>
        <v>#REF!</v>
      </c>
      <c r="D43" s="25" t="e">
        <f ca="1">'rekap absensi seluruhnya'!D48</f>
        <v>#REF!</v>
      </c>
      <c r="E43" s="44" t="e" cm="1">
        <f t="array" aca="1" ref="E43" ca="1">IF(OR(E$11="", INDIRECT("'Data Murid'!$E" &amp; ROW($E36))=""), "", IF(ISNUMBER(SEARCH(TEXT(E$11,"mm/dd/yyyy"), INDIRECT("'Data Murid'!$E" &amp; ROW($E36)))), "✔", ""))</f>
        <v>#REF!</v>
      </c>
      <c r="F43" s="44" t="e" cm="1">
        <f t="array" aca="1" ref="F43" ca="1">IF(OR(F$11="", INDIRECT("'Data Murid'!$E" &amp; ROW($E36))=""), "", IF(ISNUMBER(SEARCH(TEXT(F$11,"mm/dd/yyyy"), INDIRECT("'Data Murid'!$E" &amp; ROW($E36)))), "✔", ""))</f>
        <v>#REF!</v>
      </c>
      <c r="G43" s="44" t="e" cm="1">
        <f t="array" aca="1" ref="G43" ca="1">IF(OR(G$11="", INDIRECT("'Data Murid'!$E" &amp; ROW($E36))=""), "", IF(ISNUMBER(SEARCH(TEXT(G$11,"mm/dd/yyyy"), INDIRECT("'Data Murid'!$E" &amp; ROW($E36)))), "✔", ""))</f>
        <v>#REF!</v>
      </c>
      <c r="H43" s="44" t="e" cm="1">
        <f t="array" aca="1" ref="H43" ca="1">IF(OR(H$11="", INDIRECT("'Data Murid'!$E" &amp; ROW($E36))=""), "", IF(ISNUMBER(SEARCH(TEXT(H$11,"mm/dd/yyyy"), INDIRECT("'Data Murid'!$E" &amp; ROW($E36)))), "✔", ""))</f>
        <v>#REF!</v>
      </c>
      <c r="I43" s="44" t="e" cm="1">
        <f t="array" aca="1" ref="I43" ca="1">IF(OR(I$11="", INDIRECT("'Data Murid'!$E" &amp; ROW($E36))=""), "", IF(ISNUMBER(SEARCH(TEXT(I$11,"mm/dd/yyyy"), INDIRECT("'Data Murid'!$E" &amp; ROW($E36)))), "✔", ""))</f>
        <v>#REF!</v>
      </c>
      <c r="J43" s="44" t="e" cm="1">
        <f t="array" aca="1" ref="J43" ca="1">IF(OR(J$11="", INDIRECT("'Data Murid'!$E" &amp; ROW($E36))=""), "", IF(ISNUMBER(SEARCH(TEXT(J$11,"mm/dd/yyyy"), INDIRECT("'Data Murid'!$E" &amp; ROW($E36)))), "✔", ""))</f>
        <v>#REF!</v>
      </c>
      <c r="K43" s="44" t="e" cm="1">
        <f t="array" aca="1" ref="K43" ca="1">IF(OR(K$11="", INDIRECT("'Data Murid'!$E" &amp; ROW($E36))=""), "", IF(ISNUMBER(SEARCH(TEXT(K$11,"mm/dd/yyyy"), INDIRECT("'Data Murid'!$E" &amp; ROW($E36)))), "✔", ""))</f>
        <v>#REF!</v>
      </c>
      <c r="L43" s="44" t="e" cm="1">
        <f t="array" aca="1" ref="L43" ca="1">IF(OR(L$11="", INDIRECT("'Data Murid'!$E" &amp; ROW($E36))=""), "", IF(ISNUMBER(SEARCH(TEXT(L$11,"mm/dd/yyyy"), INDIRECT("'Data Murid'!$E" &amp; ROW($E36)))), "✔", ""))</f>
        <v>#REF!</v>
      </c>
      <c r="M43" s="44" t="e" cm="1">
        <f t="array" aca="1" ref="M43" ca="1">IF(OR(M$11="", INDIRECT("'Data Murid'!$E" &amp; ROW($E36))=""), "", IF(ISNUMBER(SEARCH(TEXT(M$11,"mm/dd/yyyy"), INDIRECT("'Data Murid'!$E" &amp; ROW($E36)))), "✔", ""))</f>
        <v>#REF!</v>
      </c>
      <c r="N43" s="44" t="e" cm="1">
        <f t="array" aca="1" ref="N43" ca="1">IF(OR(N$11="", INDIRECT("'Data Murid'!$E" &amp; ROW($E36))=""), "", IF(ISNUMBER(SEARCH(TEXT(N$11,"mm/dd/yyyy"), INDIRECT("'Data Murid'!$E" &amp; ROW($E36)))), "✔", ""))</f>
        <v>#REF!</v>
      </c>
      <c r="O43" s="44" t="e" cm="1">
        <f t="array" aca="1" ref="O43" ca="1">IF(OR(O$11="", INDIRECT("'Data Murid'!$E" &amp; ROW($E36))=""), "", IF(ISNUMBER(SEARCH(TEXT(O$11,"mm/dd/yyyy"), INDIRECT("'Data Murid'!$E" &amp; ROW($E36)))), "✔", ""))</f>
        <v>#REF!</v>
      </c>
      <c r="P43" s="44" t="e" cm="1">
        <f t="array" aca="1" ref="P43" ca="1">IF(OR(P$11="", INDIRECT("'Data Murid'!$E" &amp; ROW($E36))=""), "", IF(ISNUMBER(SEARCH(TEXT(P$11,"mm/dd/yyyy"), INDIRECT("'Data Murid'!$E" &amp; ROW($E36)))), "✔", ""))</f>
        <v>#REF!</v>
      </c>
      <c r="Q43" s="44" t="e" cm="1">
        <f t="array" aca="1" ref="Q43" ca="1">IF(OR(Q$11="", INDIRECT("'Data Murid'!$E" &amp; ROW($E36))=""), "", IF(ISNUMBER(SEARCH(TEXT(Q$11,"mm/dd/yyyy"), INDIRECT("'Data Murid'!$E" &amp; ROW($E36)))), "✔", ""))</f>
        <v>#REF!</v>
      </c>
      <c r="R43" s="44" t="e" cm="1">
        <f t="array" aca="1" ref="R43" ca="1">IF(OR(R$11="", INDIRECT("'Data Murid'!$E" &amp; ROW($E36))=""), "", IF(ISNUMBER(SEARCH(TEXT(R$11,"mm/dd/yyyy"), INDIRECT("'Data Murid'!$E" &amp; ROW($E36)))), "✔", ""))</f>
        <v>#REF!</v>
      </c>
      <c r="S43" s="44" t="e" cm="1">
        <f t="array" aca="1" ref="S43" ca="1">IF(OR(S$11="", INDIRECT("'Data Murid'!$E" &amp; ROW($E36))=""), "", IF(ISNUMBER(SEARCH(TEXT(S$11,"mm/dd/yyyy"), INDIRECT("'Data Murid'!$E" &amp; ROW($E36)))), "✔", ""))</f>
        <v>#REF!</v>
      </c>
      <c r="T43" s="44" t="e" cm="1">
        <f t="array" aca="1" ref="T43" ca="1">IF(OR(T$11="", INDIRECT("'Data Murid'!$E" &amp; ROW($E36))=""), "", IF(ISNUMBER(SEARCH(TEXT(T$11,"mm/dd/yyyy"), INDIRECT("'Data Murid'!$E" &amp; ROW($E36)))), "✔", ""))</f>
        <v>#REF!</v>
      </c>
      <c r="U43" s="44" t="e" cm="1">
        <f t="array" aca="1" ref="U43" ca="1">IF(OR(U$11="", INDIRECT("'Data Murid'!$E" &amp; ROW($E36))=""), "", IF(ISNUMBER(SEARCH(TEXT(U$11,"mm/dd/yyyy"), INDIRECT("'Data Murid'!$E" &amp; ROW($E36)))), "✔", ""))</f>
        <v>#REF!</v>
      </c>
      <c r="V43" s="44" t="e" cm="1">
        <f t="array" aca="1" ref="V43" ca="1">IF(OR(V$11="", INDIRECT("'Data Murid'!$E" &amp; ROW($E36))=""), "", IF(ISNUMBER(SEARCH(TEXT(V$11,"mm/dd/yyyy"), INDIRECT("'Data Murid'!$E" &amp; ROW($E36)))), "✔", ""))</f>
        <v>#REF!</v>
      </c>
      <c r="W43" s="44" t="e" cm="1">
        <f t="array" aca="1" ref="W43" ca="1">IF(OR(W$11="", INDIRECT("'Data Murid'!$E" &amp; ROW($E36))=""), "", IF(ISNUMBER(SEARCH(TEXT(W$11,"mm/dd/yyyy"), INDIRECT("'Data Murid'!$E" &amp; ROW($E36)))), "✔", ""))</f>
        <v>#REF!</v>
      </c>
      <c r="X43" s="44" t="e" cm="1">
        <f t="array" aca="1" ref="X43" ca="1">IF(OR(X$11="", INDIRECT("'Data Murid'!$E" &amp; ROW($E36))=""), "", IF(ISNUMBER(SEARCH(TEXT(X$11,"mm/dd/yyyy"), INDIRECT("'Data Murid'!$E" &amp; ROW($E36)))), "✔", ""))</f>
        <v>#REF!</v>
      </c>
      <c r="Y43" s="44" t="e" cm="1">
        <f t="array" aca="1" ref="Y43" ca="1">IF(OR(Y$11="", INDIRECT("'Data Murid'!$E" &amp; ROW($E36))=""), "", IF(ISNUMBER(SEARCH(TEXT(Y$11,"mm/dd/yyyy"), INDIRECT("'Data Murid'!$E" &amp; ROW($E36)))), "✔", ""))</f>
        <v>#REF!</v>
      </c>
      <c r="Z43" s="44" t="e" cm="1">
        <f t="array" aca="1" ref="Z43" ca="1">IF(OR(Z$11="", INDIRECT("'Data Murid'!$E" &amp; ROW($E36))=""), "", IF(ISNUMBER(SEARCH(TEXT(Z$11,"mm/dd/yyyy"), INDIRECT("'Data Murid'!$E" &amp; ROW($E36)))), "✔", ""))</f>
        <v>#REF!</v>
      </c>
      <c r="AA43" s="44" t="e" cm="1">
        <f t="array" aca="1" ref="AA43" ca="1">IF(OR(AA$11="", INDIRECT("'Data Murid'!$E" &amp; ROW($E36))=""), "", IF(ISNUMBER(SEARCH(TEXT(AA$11,"mm/dd/yyyy"), INDIRECT("'Data Murid'!$E" &amp; ROW($E36)))), "✔", ""))</f>
        <v>#REF!</v>
      </c>
      <c r="AB43" s="44" t="e" cm="1">
        <f t="array" aca="1" ref="AB43" ca="1">IF(OR(AB$11="", INDIRECT("'Data Murid'!$E" &amp; ROW($E36))=""), "", IF(ISNUMBER(SEARCH(TEXT(AB$11,"mm/dd/yyyy"), INDIRECT("'Data Murid'!$E" &amp; ROW($E36)))), "✔", ""))</f>
        <v>#REF!</v>
      </c>
      <c r="AC43" s="44" t="e" cm="1">
        <f t="array" aca="1" ref="AC43" ca="1">IF(OR(AC$11="", INDIRECT("'Data Murid'!$E" &amp; ROW($E36))=""), "", IF(ISNUMBER(SEARCH(TEXT(AC$11,"mm/dd/yyyy"), INDIRECT("'Data Murid'!$E" &amp; ROW($E36)))), "✔", ""))</f>
        <v>#REF!</v>
      </c>
      <c r="AD43" s="44" t="e" cm="1">
        <f t="array" aca="1" ref="AD43" ca="1">IF(OR(AD$11="", INDIRECT("'Data Murid'!$E" &amp; ROW($E36))=""), "", IF(ISNUMBER(SEARCH(TEXT(AD$11,"mm/dd/yyyy"), INDIRECT("'Data Murid'!$E" &amp; ROW($E36)))), "✔", ""))</f>
        <v>#REF!</v>
      </c>
      <c r="AE43" s="44" t="e" cm="1">
        <f t="array" aca="1" ref="AE43" ca="1">IF(OR(AE$11="", INDIRECT("'Data Murid'!$E" &amp; ROW($E36))=""), "", IF(ISNUMBER(SEARCH(TEXT(AE$11,"mm/dd/yyyy"), INDIRECT("'Data Murid'!$E" &amp; ROW($E36)))), "✔", ""))</f>
        <v>#REF!</v>
      </c>
      <c r="AF43" s="44" t="e" cm="1">
        <f t="array" aca="1" ref="AF43" ca="1">IF(OR(AF$11="", INDIRECT("'Data Murid'!$E" &amp; ROW($E36))=""), "", IF(ISNUMBER(SEARCH(TEXT(AF$11,"mm/dd/yyyy"), INDIRECT("'Data Murid'!$E" &amp; ROW($E36)))), "✔", ""))</f>
        <v>#REF!</v>
      </c>
      <c r="AG43" s="44" t="e" cm="1">
        <f t="array" aca="1" ref="AG43" ca="1">IF(OR(AG$11="", INDIRECT("'Data Murid'!$E" &amp; ROW($E36))=""), "", IF(ISNUMBER(SEARCH(TEXT(AG$11,"mm/dd/yyyy"), INDIRECT("'Data Murid'!$E" &amp; ROW($E36)))), "✔", ""))</f>
        <v>#REF!</v>
      </c>
      <c r="AH43" s="44" t="e" cm="1">
        <f t="array" aca="1" ref="AH43" ca="1">IF(OR(AH$11="", INDIRECT("'Data Murid'!$E" &amp; ROW($E36))=""), "", IF(ISNUMBER(SEARCH(TEXT(AH$11,"mm/dd/yyyy"), INDIRECT("'Data Murid'!$E" &amp; ROW($E36)))), "✔", ""))</f>
        <v>#REF!</v>
      </c>
      <c r="AI43" s="44" t="e" cm="1">
        <f t="array" aca="1" ref="AI43" ca="1">IF(OR(AI$11="", INDIRECT("'Data Murid'!$E" &amp; ROW($E36))=""), "", IF(ISNUMBER(SEARCH(TEXT(AI$11,"mm/dd/yyyy"), INDIRECT("'Data Murid'!$E" &amp; ROW($E36)))), "✔", ""))</f>
        <v>#REF!</v>
      </c>
      <c r="AJ43" s="40">
        <f t="shared" ca="1" si="2"/>
        <v>0</v>
      </c>
    </row>
    <row r="44" spans="1:36" ht="14.25" customHeight="1" x14ac:dyDescent="0.25">
      <c r="A44" s="27">
        <v>30</v>
      </c>
      <c r="B44" s="25" t="e">
        <f ca="1">'rekap absensi seluruhnya'!B49</f>
        <v>#REF!</v>
      </c>
      <c r="C44" s="52" t="e">
        <f ca="1">'rekap absensi seluruhnya'!C49</f>
        <v>#REF!</v>
      </c>
      <c r="D44" s="25" t="e">
        <f ca="1">'rekap absensi seluruhnya'!D49</f>
        <v>#REF!</v>
      </c>
      <c r="E44" s="44" t="e" cm="1">
        <f t="array" aca="1" ref="E44" ca="1">IF(OR(E$11="", INDIRECT("'Data Murid'!$E" &amp; ROW($E37))=""), "", IF(ISNUMBER(SEARCH(TEXT(E$11,"mm/dd/yyyy"), INDIRECT("'Data Murid'!$E" &amp; ROW($E37)))), "✔", ""))</f>
        <v>#REF!</v>
      </c>
      <c r="F44" s="44" t="e" cm="1">
        <f t="array" aca="1" ref="F44" ca="1">IF(OR(F$11="", INDIRECT("'Data Murid'!$E" &amp; ROW($E37))=""), "", IF(ISNUMBER(SEARCH(TEXT(F$11,"mm/dd/yyyy"), INDIRECT("'Data Murid'!$E" &amp; ROW($E37)))), "✔", ""))</f>
        <v>#REF!</v>
      </c>
      <c r="G44" s="44" t="e" cm="1">
        <f t="array" aca="1" ref="G44" ca="1">IF(OR(G$11="", INDIRECT("'Data Murid'!$E" &amp; ROW($E37))=""), "", IF(ISNUMBER(SEARCH(TEXT(G$11,"mm/dd/yyyy"), INDIRECT("'Data Murid'!$E" &amp; ROW($E37)))), "✔", ""))</f>
        <v>#REF!</v>
      </c>
      <c r="H44" s="44" t="e" cm="1">
        <f t="array" aca="1" ref="H44" ca="1">IF(OR(H$11="", INDIRECT("'Data Murid'!$E" &amp; ROW($E37))=""), "", IF(ISNUMBER(SEARCH(TEXT(H$11,"mm/dd/yyyy"), INDIRECT("'Data Murid'!$E" &amp; ROW($E37)))), "✔", ""))</f>
        <v>#REF!</v>
      </c>
      <c r="I44" s="44" t="e" cm="1">
        <f t="array" aca="1" ref="I44" ca="1">IF(OR(I$11="", INDIRECT("'Data Murid'!$E" &amp; ROW($E37))=""), "", IF(ISNUMBER(SEARCH(TEXT(I$11,"mm/dd/yyyy"), INDIRECT("'Data Murid'!$E" &amp; ROW($E37)))), "✔", ""))</f>
        <v>#REF!</v>
      </c>
      <c r="J44" s="44" t="e" cm="1">
        <f t="array" aca="1" ref="J44" ca="1">IF(OR(J$11="", INDIRECT("'Data Murid'!$E" &amp; ROW($E37))=""), "", IF(ISNUMBER(SEARCH(TEXT(J$11,"mm/dd/yyyy"), INDIRECT("'Data Murid'!$E" &amp; ROW($E37)))), "✔", ""))</f>
        <v>#REF!</v>
      </c>
      <c r="K44" s="44" t="e" cm="1">
        <f t="array" aca="1" ref="K44" ca="1">IF(OR(K$11="", INDIRECT("'Data Murid'!$E" &amp; ROW($E37))=""), "", IF(ISNUMBER(SEARCH(TEXT(K$11,"mm/dd/yyyy"), INDIRECT("'Data Murid'!$E" &amp; ROW($E37)))), "✔", ""))</f>
        <v>#REF!</v>
      </c>
      <c r="L44" s="44" t="e" cm="1">
        <f t="array" aca="1" ref="L44" ca="1">IF(OR(L$11="", INDIRECT("'Data Murid'!$E" &amp; ROW($E37))=""), "", IF(ISNUMBER(SEARCH(TEXT(L$11,"mm/dd/yyyy"), INDIRECT("'Data Murid'!$E" &amp; ROW($E37)))), "✔", ""))</f>
        <v>#REF!</v>
      </c>
      <c r="M44" s="44" t="e" cm="1">
        <f t="array" aca="1" ref="M44" ca="1">IF(OR(M$11="", INDIRECT("'Data Murid'!$E" &amp; ROW($E37))=""), "", IF(ISNUMBER(SEARCH(TEXT(M$11,"mm/dd/yyyy"), INDIRECT("'Data Murid'!$E" &amp; ROW($E37)))), "✔", ""))</f>
        <v>#REF!</v>
      </c>
      <c r="N44" s="44" t="e" cm="1">
        <f t="array" aca="1" ref="N44" ca="1">IF(OR(N$11="", INDIRECT("'Data Murid'!$E" &amp; ROW($E37))=""), "", IF(ISNUMBER(SEARCH(TEXT(N$11,"mm/dd/yyyy"), INDIRECT("'Data Murid'!$E" &amp; ROW($E37)))), "✔", ""))</f>
        <v>#REF!</v>
      </c>
      <c r="O44" s="44" t="e" cm="1">
        <f t="array" aca="1" ref="O44" ca="1">IF(OR(O$11="", INDIRECT("'Data Murid'!$E" &amp; ROW($E37))=""), "", IF(ISNUMBER(SEARCH(TEXT(O$11,"mm/dd/yyyy"), INDIRECT("'Data Murid'!$E" &amp; ROW($E37)))), "✔", ""))</f>
        <v>#REF!</v>
      </c>
      <c r="P44" s="44" t="e" cm="1">
        <f t="array" aca="1" ref="P44" ca="1">IF(OR(P$11="", INDIRECT("'Data Murid'!$E" &amp; ROW($E37))=""), "", IF(ISNUMBER(SEARCH(TEXT(P$11,"mm/dd/yyyy"), INDIRECT("'Data Murid'!$E" &amp; ROW($E37)))), "✔", ""))</f>
        <v>#REF!</v>
      </c>
      <c r="Q44" s="44" t="e" cm="1">
        <f t="array" aca="1" ref="Q44" ca="1">IF(OR(Q$11="", INDIRECT("'Data Murid'!$E" &amp; ROW($E37))=""), "", IF(ISNUMBER(SEARCH(TEXT(Q$11,"mm/dd/yyyy"), INDIRECT("'Data Murid'!$E" &amp; ROW($E37)))), "✔", ""))</f>
        <v>#REF!</v>
      </c>
      <c r="R44" s="44" t="e" cm="1">
        <f t="array" aca="1" ref="R44" ca="1">IF(OR(R$11="", INDIRECT("'Data Murid'!$E" &amp; ROW($E37))=""), "", IF(ISNUMBER(SEARCH(TEXT(R$11,"mm/dd/yyyy"), INDIRECT("'Data Murid'!$E" &amp; ROW($E37)))), "✔", ""))</f>
        <v>#REF!</v>
      </c>
      <c r="S44" s="44" t="e" cm="1">
        <f t="array" aca="1" ref="S44" ca="1">IF(OR(S$11="", INDIRECT("'Data Murid'!$E" &amp; ROW($E37))=""), "", IF(ISNUMBER(SEARCH(TEXT(S$11,"mm/dd/yyyy"), INDIRECT("'Data Murid'!$E" &amp; ROW($E37)))), "✔", ""))</f>
        <v>#REF!</v>
      </c>
      <c r="T44" s="44" t="e" cm="1">
        <f t="array" aca="1" ref="T44" ca="1">IF(OR(T$11="", INDIRECT("'Data Murid'!$E" &amp; ROW($E37))=""), "", IF(ISNUMBER(SEARCH(TEXT(T$11,"mm/dd/yyyy"), INDIRECT("'Data Murid'!$E" &amp; ROW($E37)))), "✔", ""))</f>
        <v>#REF!</v>
      </c>
      <c r="U44" s="44" t="e" cm="1">
        <f t="array" aca="1" ref="U44" ca="1">IF(OR(U$11="", INDIRECT("'Data Murid'!$E" &amp; ROW($E37))=""), "", IF(ISNUMBER(SEARCH(TEXT(U$11,"mm/dd/yyyy"), INDIRECT("'Data Murid'!$E" &amp; ROW($E37)))), "✔", ""))</f>
        <v>#REF!</v>
      </c>
      <c r="V44" s="44" t="e" cm="1">
        <f t="array" aca="1" ref="V44" ca="1">IF(OR(V$11="", INDIRECT("'Data Murid'!$E" &amp; ROW($E37))=""), "", IF(ISNUMBER(SEARCH(TEXT(V$11,"mm/dd/yyyy"), INDIRECT("'Data Murid'!$E" &amp; ROW($E37)))), "✔", ""))</f>
        <v>#REF!</v>
      </c>
      <c r="W44" s="44" t="e" cm="1">
        <f t="array" aca="1" ref="W44" ca="1">IF(OR(W$11="", INDIRECT("'Data Murid'!$E" &amp; ROW($E37))=""), "", IF(ISNUMBER(SEARCH(TEXT(W$11,"mm/dd/yyyy"), INDIRECT("'Data Murid'!$E" &amp; ROW($E37)))), "✔", ""))</f>
        <v>#REF!</v>
      </c>
      <c r="X44" s="44" t="e" cm="1">
        <f t="array" aca="1" ref="X44" ca="1">IF(OR(X$11="", INDIRECT("'Data Murid'!$E" &amp; ROW($E37))=""), "", IF(ISNUMBER(SEARCH(TEXT(X$11,"mm/dd/yyyy"), INDIRECT("'Data Murid'!$E" &amp; ROW($E37)))), "✔", ""))</f>
        <v>#REF!</v>
      </c>
      <c r="Y44" s="44" t="e" cm="1">
        <f t="array" aca="1" ref="Y44" ca="1">IF(OR(Y$11="", INDIRECT("'Data Murid'!$E" &amp; ROW($E37))=""), "", IF(ISNUMBER(SEARCH(TEXT(Y$11,"mm/dd/yyyy"), INDIRECT("'Data Murid'!$E" &amp; ROW($E37)))), "✔", ""))</f>
        <v>#REF!</v>
      </c>
      <c r="Z44" s="44" t="e" cm="1">
        <f t="array" aca="1" ref="Z44" ca="1">IF(OR(Z$11="", INDIRECT("'Data Murid'!$E" &amp; ROW($E37))=""), "", IF(ISNUMBER(SEARCH(TEXT(Z$11,"mm/dd/yyyy"), INDIRECT("'Data Murid'!$E" &amp; ROW($E37)))), "✔", ""))</f>
        <v>#REF!</v>
      </c>
      <c r="AA44" s="44" t="e" cm="1">
        <f t="array" aca="1" ref="AA44" ca="1">IF(OR(AA$11="", INDIRECT("'Data Murid'!$E" &amp; ROW($E37))=""), "", IF(ISNUMBER(SEARCH(TEXT(AA$11,"mm/dd/yyyy"), INDIRECT("'Data Murid'!$E" &amp; ROW($E37)))), "✔", ""))</f>
        <v>#REF!</v>
      </c>
      <c r="AB44" s="44" t="e" cm="1">
        <f t="array" aca="1" ref="AB44" ca="1">IF(OR(AB$11="", INDIRECT("'Data Murid'!$E" &amp; ROW($E37))=""), "", IF(ISNUMBER(SEARCH(TEXT(AB$11,"mm/dd/yyyy"), INDIRECT("'Data Murid'!$E" &amp; ROW($E37)))), "✔", ""))</f>
        <v>#REF!</v>
      </c>
      <c r="AC44" s="44" t="e" cm="1">
        <f t="array" aca="1" ref="AC44" ca="1">IF(OR(AC$11="", INDIRECT("'Data Murid'!$E" &amp; ROW($E37))=""), "", IF(ISNUMBER(SEARCH(TEXT(AC$11,"mm/dd/yyyy"), INDIRECT("'Data Murid'!$E" &amp; ROW($E37)))), "✔", ""))</f>
        <v>#REF!</v>
      </c>
      <c r="AD44" s="44" t="e" cm="1">
        <f t="array" aca="1" ref="AD44" ca="1">IF(OR(AD$11="", INDIRECT("'Data Murid'!$E" &amp; ROW($E37))=""), "", IF(ISNUMBER(SEARCH(TEXT(AD$11,"mm/dd/yyyy"), INDIRECT("'Data Murid'!$E" &amp; ROW($E37)))), "✔", ""))</f>
        <v>#REF!</v>
      </c>
      <c r="AE44" s="44" t="e" cm="1">
        <f t="array" aca="1" ref="AE44" ca="1">IF(OR(AE$11="", INDIRECT("'Data Murid'!$E" &amp; ROW($E37))=""), "", IF(ISNUMBER(SEARCH(TEXT(AE$11,"mm/dd/yyyy"), INDIRECT("'Data Murid'!$E" &amp; ROW($E37)))), "✔", ""))</f>
        <v>#REF!</v>
      </c>
      <c r="AF44" s="44" t="e" cm="1">
        <f t="array" aca="1" ref="AF44" ca="1">IF(OR(AF$11="", INDIRECT("'Data Murid'!$E" &amp; ROW($E37))=""), "", IF(ISNUMBER(SEARCH(TEXT(AF$11,"mm/dd/yyyy"), INDIRECT("'Data Murid'!$E" &amp; ROW($E37)))), "✔", ""))</f>
        <v>#REF!</v>
      </c>
      <c r="AG44" s="44" t="e" cm="1">
        <f t="array" aca="1" ref="AG44" ca="1">IF(OR(AG$11="", INDIRECT("'Data Murid'!$E" &amp; ROW($E37))=""), "", IF(ISNUMBER(SEARCH(TEXT(AG$11,"mm/dd/yyyy"), INDIRECT("'Data Murid'!$E" &amp; ROW($E37)))), "✔", ""))</f>
        <v>#REF!</v>
      </c>
      <c r="AH44" s="44" t="e" cm="1">
        <f t="array" aca="1" ref="AH44" ca="1">IF(OR(AH$11="", INDIRECT("'Data Murid'!$E" &amp; ROW($E37))=""), "", IF(ISNUMBER(SEARCH(TEXT(AH$11,"mm/dd/yyyy"), INDIRECT("'Data Murid'!$E" &amp; ROW($E37)))), "✔", ""))</f>
        <v>#REF!</v>
      </c>
      <c r="AI44" s="44" t="e" cm="1">
        <f t="array" aca="1" ref="AI44" ca="1">IF(OR(AI$11="", INDIRECT("'Data Murid'!$E" &amp; ROW($E37))=""), "", IF(ISNUMBER(SEARCH(TEXT(AI$11,"mm/dd/yyyy"), INDIRECT("'Data Murid'!$E" &amp; ROW($E37)))), "✔", ""))</f>
        <v>#REF!</v>
      </c>
      <c r="AJ44" s="40">
        <f t="shared" ca="1" si="2"/>
        <v>0</v>
      </c>
    </row>
    <row r="45" spans="1:36" ht="14.25" customHeight="1" x14ac:dyDescent="0.25">
      <c r="A45" s="27">
        <v>31</v>
      </c>
      <c r="B45" s="25" t="e">
        <f ca="1">'rekap absensi seluruhnya'!B50</f>
        <v>#REF!</v>
      </c>
      <c r="C45" s="52" t="e">
        <f ca="1">'rekap absensi seluruhnya'!C50</f>
        <v>#REF!</v>
      </c>
      <c r="D45" s="25" t="e">
        <f ca="1">'rekap absensi seluruhnya'!D50</f>
        <v>#REF!</v>
      </c>
      <c r="E45" s="44" t="e" cm="1">
        <f t="array" aca="1" ref="E45" ca="1">IF(OR(E$11="", INDIRECT("'Data Murid'!$E" &amp; ROW($E38))=""), "", IF(ISNUMBER(SEARCH(TEXT(E$11,"mm/dd/yyyy"), INDIRECT("'Data Murid'!$E" &amp; ROW($E38)))), "✔", ""))</f>
        <v>#REF!</v>
      </c>
      <c r="F45" s="44" t="e" cm="1">
        <f t="array" aca="1" ref="F45" ca="1">IF(OR(F$11="", INDIRECT("'Data Murid'!$E" &amp; ROW($E38))=""), "", IF(ISNUMBER(SEARCH(TEXT(F$11,"mm/dd/yyyy"), INDIRECT("'Data Murid'!$E" &amp; ROW($E38)))), "✔", ""))</f>
        <v>#REF!</v>
      </c>
      <c r="G45" s="44" t="e" cm="1">
        <f t="array" aca="1" ref="G45" ca="1">IF(OR(G$11="", INDIRECT("'Data Murid'!$E" &amp; ROW($E38))=""), "", IF(ISNUMBER(SEARCH(TEXT(G$11,"mm/dd/yyyy"), INDIRECT("'Data Murid'!$E" &amp; ROW($E38)))), "✔", ""))</f>
        <v>#REF!</v>
      </c>
      <c r="H45" s="44" t="e" cm="1">
        <f t="array" aca="1" ref="H45" ca="1">IF(OR(H$11="", INDIRECT("'Data Murid'!$E" &amp; ROW($E38))=""), "", IF(ISNUMBER(SEARCH(TEXT(H$11,"mm/dd/yyyy"), INDIRECT("'Data Murid'!$E" &amp; ROW($E38)))), "✔", ""))</f>
        <v>#REF!</v>
      </c>
      <c r="I45" s="44" t="e" cm="1">
        <f t="array" aca="1" ref="I45" ca="1">IF(OR(I$11="", INDIRECT("'Data Murid'!$E" &amp; ROW($E38))=""), "", IF(ISNUMBER(SEARCH(TEXT(I$11,"mm/dd/yyyy"), INDIRECT("'Data Murid'!$E" &amp; ROW($E38)))), "✔", ""))</f>
        <v>#REF!</v>
      </c>
      <c r="J45" s="44" t="e" cm="1">
        <f t="array" aca="1" ref="J45" ca="1">IF(OR(J$11="", INDIRECT("'Data Murid'!$E" &amp; ROW($E38))=""), "", IF(ISNUMBER(SEARCH(TEXT(J$11,"mm/dd/yyyy"), INDIRECT("'Data Murid'!$E" &amp; ROW($E38)))), "✔", ""))</f>
        <v>#REF!</v>
      </c>
      <c r="K45" s="44" t="e" cm="1">
        <f t="array" aca="1" ref="K45" ca="1">IF(OR(K$11="", INDIRECT("'Data Murid'!$E" &amp; ROW($E38))=""), "", IF(ISNUMBER(SEARCH(TEXT(K$11,"mm/dd/yyyy"), INDIRECT("'Data Murid'!$E" &amp; ROW($E38)))), "✔", ""))</f>
        <v>#REF!</v>
      </c>
      <c r="L45" s="44" t="e" cm="1">
        <f t="array" aca="1" ref="L45" ca="1">IF(OR(L$11="", INDIRECT("'Data Murid'!$E" &amp; ROW($E38))=""), "", IF(ISNUMBER(SEARCH(TEXT(L$11,"mm/dd/yyyy"), INDIRECT("'Data Murid'!$E" &amp; ROW($E38)))), "✔", ""))</f>
        <v>#REF!</v>
      </c>
      <c r="M45" s="44" t="e" cm="1">
        <f t="array" aca="1" ref="M45" ca="1">IF(OR(M$11="", INDIRECT("'Data Murid'!$E" &amp; ROW($E38))=""), "", IF(ISNUMBER(SEARCH(TEXT(M$11,"mm/dd/yyyy"), INDIRECT("'Data Murid'!$E" &amp; ROW($E38)))), "✔", ""))</f>
        <v>#REF!</v>
      </c>
      <c r="N45" s="44" t="e" cm="1">
        <f t="array" aca="1" ref="N45" ca="1">IF(OR(N$11="", INDIRECT("'Data Murid'!$E" &amp; ROW($E38))=""), "", IF(ISNUMBER(SEARCH(TEXT(N$11,"mm/dd/yyyy"), INDIRECT("'Data Murid'!$E" &amp; ROW($E38)))), "✔", ""))</f>
        <v>#REF!</v>
      </c>
      <c r="O45" s="44" t="e" cm="1">
        <f t="array" aca="1" ref="O45" ca="1">IF(OR(O$11="", INDIRECT("'Data Murid'!$E" &amp; ROW($E38))=""), "", IF(ISNUMBER(SEARCH(TEXT(O$11,"mm/dd/yyyy"), INDIRECT("'Data Murid'!$E" &amp; ROW($E38)))), "✔", ""))</f>
        <v>#REF!</v>
      </c>
      <c r="P45" s="44" t="e" cm="1">
        <f t="array" aca="1" ref="P45" ca="1">IF(OR(P$11="", INDIRECT("'Data Murid'!$E" &amp; ROW($E38))=""), "", IF(ISNUMBER(SEARCH(TEXT(P$11,"mm/dd/yyyy"), INDIRECT("'Data Murid'!$E" &amp; ROW($E38)))), "✔", ""))</f>
        <v>#REF!</v>
      </c>
      <c r="Q45" s="44" t="e" cm="1">
        <f t="array" aca="1" ref="Q45" ca="1">IF(OR(Q$11="", INDIRECT("'Data Murid'!$E" &amp; ROW($E38))=""), "", IF(ISNUMBER(SEARCH(TEXT(Q$11,"mm/dd/yyyy"), INDIRECT("'Data Murid'!$E" &amp; ROW($E38)))), "✔", ""))</f>
        <v>#REF!</v>
      </c>
      <c r="R45" s="44" t="e" cm="1">
        <f t="array" aca="1" ref="R45" ca="1">IF(OR(R$11="", INDIRECT("'Data Murid'!$E" &amp; ROW($E38))=""), "", IF(ISNUMBER(SEARCH(TEXT(R$11,"mm/dd/yyyy"), INDIRECT("'Data Murid'!$E" &amp; ROW($E38)))), "✔", ""))</f>
        <v>#REF!</v>
      </c>
      <c r="S45" s="44" t="e" cm="1">
        <f t="array" aca="1" ref="S45" ca="1">IF(OR(S$11="", INDIRECT("'Data Murid'!$E" &amp; ROW($E38))=""), "", IF(ISNUMBER(SEARCH(TEXT(S$11,"mm/dd/yyyy"), INDIRECT("'Data Murid'!$E" &amp; ROW($E38)))), "✔", ""))</f>
        <v>#REF!</v>
      </c>
      <c r="T45" s="44" t="e" cm="1">
        <f t="array" aca="1" ref="T45" ca="1">IF(OR(T$11="", INDIRECT("'Data Murid'!$E" &amp; ROW($E38))=""), "", IF(ISNUMBER(SEARCH(TEXT(T$11,"mm/dd/yyyy"), INDIRECT("'Data Murid'!$E" &amp; ROW($E38)))), "✔", ""))</f>
        <v>#REF!</v>
      </c>
      <c r="U45" s="44" t="e" cm="1">
        <f t="array" aca="1" ref="U45" ca="1">IF(OR(U$11="", INDIRECT("'Data Murid'!$E" &amp; ROW($E38))=""), "", IF(ISNUMBER(SEARCH(TEXT(U$11,"mm/dd/yyyy"), INDIRECT("'Data Murid'!$E" &amp; ROW($E38)))), "✔", ""))</f>
        <v>#REF!</v>
      </c>
      <c r="V45" s="44" t="e" cm="1">
        <f t="array" aca="1" ref="V45" ca="1">IF(OR(V$11="", INDIRECT("'Data Murid'!$E" &amp; ROW($E38))=""), "", IF(ISNUMBER(SEARCH(TEXT(V$11,"mm/dd/yyyy"), INDIRECT("'Data Murid'!$E" &amp; ROW($E38)))), "✔", ""))</f>
        <v>#REF!</v>
      </c>
      <c r="W45" s="44" t="e" cm="1">
        <f t="array" aca="1" ref="W45" ca="1">IF(OR(W$11="", INDIRECT("'Data Murid'!$E" &amp; ROW($E38))=""), "", IF(ISNUMBER(SEARCH(TEXT(W$11,"mm/dd/yyyy"), INDIRECT("'Data Murid'!$E" &amp; ROW($E38)))), "✔", ""))</f>
        <v>#REF!</v>
      </c>
      <c r="X45" s="44" t="e" cm="1">
        <f t="array" aca="1" ref="X45" ca="1">IF(OR(X$11="", INDIRECT("'Data Murid'!$E" &amp; ROW($E38))=""), "", IF(ISNUMBER(SEARCH(TEXT(X$11,"mm/dd/yyyy"), INDIRECT("'Data Murid'!$E" &amp; ROW($E38)))), "✔", ""))</f>
        <v>#REF!</v>
      </c>
      <c r="Y45" s="44" t="e" cm="1">
        <f t="array" aca="1" ref="Y45" ca="1">IF(OR(Y$11="", INDIRECT("'Data Murid'!$E" &amp; ROW($E38))=""), "", IF(ISNUMBER(SEARCH(TEXT(Y$11,"mm/dd/yyyy"), INDIRECT("'Data Murid'!$E" &amp; ROW($E38)))), "✔", ""))</f>
        <v>#REF!</v>
      </c>
      <c r="Z45" s="44" t="e" cm="1">
        <f t="array" aca="1" ref="Z45" ca="1">IF(OR(Z$11="", INDIRECT("'Data Murid'!$E" &amp; ROW($E38))=""), "", IF(ISNUMBER(SEARCH(TEXT(Z$11,"mm/dd/yyyy"), INDIRECT("'Data Murid'!$E" &amp; ROW($E38)))), "✔", ""))</f>
        <v>#REF!</v>
      </c>
      <c r="AA45" s="44" t="e" cm="1">
        <f t="array" aca="1" ref="AA45" ca="1">IF(OR(AA$11="", INDIRECT("'Data Murid'!$E" &amp; ROW($E38))=""), "", IF(ISNUMBER(SEARCH(TEXT(AA$11,"mm/dd/yyyy"), INDIRECT("'Data Murid'!$E" &amp; ROW($E38)))), "✔", ""))</f>
        <v>#REF!</v>
      </c>
      <c r="AB45" s="44" t="e" cm="1">
        <f t="array" aca="1" ref="AB45" ca="1">IF(OR(AB$11="", INDIRECT("'Data Murid'!$E" &amp; ROW($E38))=""), "", IF(ISNUMBER(SEARCH(TEXT(AB$11,"mm/dd/yyyy"), INDIRECT("'Data Murid'!$E" &amp; ROW($E38)))), "✔", ""))</f>
        <v>#REF!</v>
      </c>
      <c r="AC45" s="44" t="e" cm="1">
        <f t="array" aca="1" ref="AC45" ca="1">IF(OR(AC$11="", INDIRECT("'Data Murid'!$E" &amp; ROW($E38))=""), "", IF(ISNUMBER(SEARCH(TEXT(AC$11,"mm/dd/yyyy"), INDIRECT("'Data Murid'!$E" &amp; ROW($E38)))), "✔", ""))</f>
        <v>#REF!</v>
      </c>
      <c r="AD45" s="44" t="e" cm="1">
        <f t="array" aca="1" ref="AD45" ca="1">IF(OR(AD$11="", INDIRECT("'Data Murid'!$E" &amp; ROW($E38))=""), "", IF(ISNUMBER(SEARCH(TEXT(AD$11,"mm/dd/yyyy"), INDIRECT("'Data Murid'!$E" &amp; ROW($E38)))), "✔", ""))</f>
        <v>#REF!</v>
      </c>
      <c r="AE45" s="44" t="e" cm="1">
        <f t="array" aca="1" ref="AE45" ca="1">IF(OR(AE$11="", INDIRECT("'Data Murid'!$E" &amp; ROW($E38))=""), "", IF(ISNUMBER(SEARCH(TEXT(AE$11,"mm/dd/yyyy"), INDIRECT("'Data Murid'!$E" &amp; ROW($E38)))), "✔", ""))</f>
        <v>#REF!</v>
      </c>
      <c r="AF45" s="44" t="e" cm="1">
        <f t="array" aca="1" ref="AF45" ca="1">IF(OR(AF$11="", INDIRECT("'Data Murid'!$E" &amp; ROW($E38))=""), "", IF(ISNUMBER(SEARCH(TEXT(AF$11,"mm/dd/yyyy"), INDIRECT("'Data Murid'!$E" &amp; ROW($E38)))), "✔", ""))</f>
        <v>#REF!</v>
      </c>
      <c r="AG45" s="44" t="e" cm="1">
        <f t="array" aca="1" ref="AG45" ca="1">IF(OR(AG$11="", INDIRECT("'Data Murid'!$E" &amp; ROW($E38))=""), "", IF(ISNUMBER(SEARCH(TEXT(AG$11,"mm/dd/yyyy"), INDIRECT("'Data Murid'!$E" &amp; ROW($E38)))), "✔", ""))</f>
        <v>#REF!</v>
      </c>
      <c r="AH45" s="44" t="e" cm="1">
        <f t="array" aca="1" ref="AH45" ca="1">IF(OR(AH$11="", INDIRECT("'Data Murid'!$E" &amp; ROW($E38))=""), "", IF(ISNUMBER(SEARCH(TEXT(AH$11,"mm/dd/yyyy"), INDIRECT("'Data Murid'!$E" &amp; ROW($E38)))), "✔", ""))</f>
        <v>#REF!</v>
      </c>
      <c r="AI45" s="44" t="e" cm="1">
        <f t="array" aca="1" ref="AI45" ca="1">IF(OR(AI$11="", INDIRECT("'Data Murid'!$E" &amp; ROW($E38))=""), "", IF(ISNUMBER(SEARCH(TEXT(AI$11,"mm/dd/yyyy"), INDIRECT("'Data Murid'!$E" &amp; ROW($E38)))), "✔", ""))</f>
        <v>#REF!</v>
      </c>
      <c r="AJ45" s="40">
        <f t="shared" ca="1" si="2"/>
        <v>0</v>
      </c>
    </row>
    <row r="46" spans="1:36" ht="14.25" customHeight="1" x14ac:dyDescent="0.25">
      <c r="A46" s="27">
        <v>32</v>
      </c>
      <c r="B46" s="25" t="e">
        <f ca="1">'rekap absensi seluruhnya'!B51</f>
        <v>#REF!</v>
      </c>
      <c r="C46" s="52" t="e">
        <f ca="1">'rekap absensi seluruhnya'!C51</f>
        <v>#REF!</v>
      </c>
      <c r="D46" s="25" t="e">
        <f ca="1">'rekap absensi seluruhnya'!D51</f>
        <v>#REF!</v>
      </c>
      <c r="E46" s="44" t="e" cm="1">
        <f t="array" aca="1" ref="E46" ca="1">IF(OR(E$11="", INDIRECT("'Data Murid'!$E" &amp; ROW($E39))=""), "", IF(ISNUMBER(SEARCH(TEXT(E$11,"mm/dd/yyyy"), INDIRECT("'Data Murid'!$E" &amp; ROW($E39)))), "✔", ""))</f>
        <v>#REF!</v>
      </c>
      <c r="F46" s="44" t="e" cm="1">
        <f t="array" aca="1" ref="F46" ca="1">IF(OR(F$11="", INDIRECT("'Data Murid'!$E" &amp; ROW($E39))=""), "", IF(ISNUMBER(SEARCH(TEXT(F$11,"mm/dd/yyyy"), INDIRECT("'Data Murid'!$E" &amp; ROW($E39)))), "✔", ""))</f>
        <v>#REF!</v>
      </c>
      <c r="G46" s="44" t="e" cm="1">
        <f t="array" aca="1" ref="G46" ca="1">IF(OR(G$11="", INDIRECT("'Data Murid'!$E" &amp; ROW($E39))=""), "", IF(ISNUMBER(SEARCH(TEXT(G$11,"mm/dd/yyyy"), INDIRECT("'Data Murid'!$E" &amp; ROW($E39)))), "✔", ""))</f>
        <v>#REF!</v>
      </c>
      <c r="H46" s="44" t="e" cm="1">
        <f t="array" aca="1" ref="H46" ca="1">IF(OR(H$11="", INDIRECT("'Data Murid'!$E" &amp; ROW($E39))=""), "", IF(ISNUMBER(SEARCH(TEXT(H$11,"mm/dd/yyyy"), INDIRECT("'Data Murid'!$E" &amp; ROW($E39)))), "✔", ""))</f>
        <v>#REF!</v>
      </c>
      <c r="I46" s="44" t="e" cm="1">
        <f t="array" aca="1" ref="I46" ca="1">IF(OR(I$11="", INDIRECT("'Data Murid'!$E" &amp; ROW($E39))=""), "", IF(ISNUMBER(SEARCH(TEXT(I$11,"mm/dd/yyyy"), INDIRECT("'Data Murid'!$E" &amp; ROW($E39)))), "✔", ""))</f>
        <v>#REF!</v>
      </c>
      <c r="J46" s="44" t="e" cm="1">
        <f t="array" aca="1" ref="J46" ca="1">IF(OR(J$11="", INDIRECT("'Data Murid'!$E" &amp; ROW($E39))=""), "", IF(ISNUMBER(SEARCH(TEXT(J$11,"mm/dd/yyyy"), INDIRECT("'Data Murid'!$E" &amp; ROW($E39)))), "✔", ""))</f>
        <v>#REF!</v>
      </c>
      <c r="K46" s="44" t="e" cm="1">
        <f t="array" aca="1" ref="K46" ca="1">IF(OR(K$11="", INDIRECT("'Data Murid'!$E" &amp; ROW($E39))=""), "", IF(ISNUMBER(SEARCH(TEXT(K$11,"mm/dd/yyyy"), INDIRECT("'Data Murid'!$E" &amp; ROW($E39)))), "✔", ""))</f>
        <v>#REF!</v>
      </c>
      <c r="L46" s="44" t="e" cm="1">
        <f t="array" aca="1" ref="L46" ca="1">IF(OR(L$11="", INDIRECT("'Data Murid'!$E" &amp; ROW($E39))=""), "", IF(ISNUMBER(SEARCH(TEXT(L$11,"mm/dd/yyyy"), INDIRECT("'Data Murid'!$E" &amp; ROW($E39)))), "✔", ""))</f>
        <v>#REF!</v>
      </c>
      <c r="M46" s="44" t="e" cm="1">
        <f t="array" aca="1" ref="M46" ca="1">IF(OR(M$11="", INDIRECT("'Data Murid'!$E" &amp; ROW($E39))=""), "", IF(ISNUMBER(SEARCH(TEXT(M$11,"mm/dd/yyyy"), INDIRECT("'Data Murid'!$E" &amp; ROW($E39)))), "✔", ""))</f>
        <v>#REF!</v>
      </c>
      <c r="N46" s="44" t="e" cm="1">
        <f t="array" aca="1" ref="N46" ca="1">IF(OR(N$11="", INDIRECT("'Data Murid'!$E" &amp; ROW($E39))=""), "", IF(ISNUMBER(SEARCH(TEXT(N$11,"mm/dd/yyyy"), INDIRECT("'Data Murid'!$E" &amp; ROW($E39)))), "✔", ""))</f>
        <v>#REF!</v>
      </c>
      <c r="O46" s="44" t="e" cm="1">
        <f t="array" aca="1" ref="O46" ca="1">IF(OR(O$11="", INDIRECT("'Data Murid'!$E" &amp; ROW($E39))=""), "", IF(ISNUMBER(SEARCH(TEXT(O$11,"mm/dd/yyyy"), INDIRECT("'Data Murid'!$E" &amp; ROW($E39)))), "✔", ""))</f>
        <v>#REF!</v>
      </c>
      <c r="P46" s="44" t="e" cm="1">
        <f t="array" aca="1" ref="P46" ca="1">IF(OR(P$11="", INDIRECT("'Data Murid'!$E" &amp; ROW($E39))=""), "", IF(ISNUMBER(SEARCH(TEXT(P$11,"mm/dd/yyyy"), INDIRECT("'Data Murid'!$E" &amp; ROW($E39)))), "✔", ""))</f>
        <v>#REF!</v>
      </c>
      <c r="Q46" s="44" t="e" cm="1">
        <f t="array" aca="1" ref="Q46" ca="1">IF(OR(Q$11="", INDIRECT("'Data Murid'!$E" &amp; ROW($E39))=""), "", IF(ISNUMBER(SEARCH(TEXT(Q$11,"mm/dd/yyyy"), INDIRECT("'Data Murid'!$E" &amp; ROW($E39)))), "✔", ""))</f>
        <v>#REF!</v>
      </c>
      <c r="R46" s="44" t="e" cm="1">
        <f t="array" aca="1" ref="R46" ca="1">IF(OR(R$11="", INDIRECT("'Data Murid'!$E" &amp; ROW($E39))=""), "", IF(ISNUMBER(SEARCH(TEXT(R$11,"mm/dd/yyyy"), INDIRECT("'Data Murid'!$E" &amp; ROW($E39)))), "✔", ""))</f>
        <v>#REF!</v>
      </c>
      <c r="S46" s="44" t="e" cm="1">
        <f t="array" aca="1" ref="S46" ca="1">IF(OR(S$11="", INDIRECT("'Data Murid'!$E" &amp; ROW($E39))=""), "", IF(ISNUMBER(SEARCH(TEXT(S$11,"mm/dd/yyyy"), INDIRECT("'Data Murid'!$E" &amp; ROW($E39)))), "✔", ""))</f>
        <v>#REF!</v>
      </c>
      <c r="T46" s="44" t="e" cm="1">
        <f t="array" aca="1" ref="T46" ca="1">IF(OR(T$11="", INDIRECT("'Data Murid'!$E" &amp; ROW($E39))=""), "", IF(ISNUMBER(SEARCH(TEXT(T$11,"mm/dd/yyyy"), INDIRECT("'Data Murid'!$E" &amp; ROW($E39)))), "✔", ""))</f>
        <v>#REF!</v>
      </c>
      <c r="U46" s="44" t="e" cm="1">
        <f t="array" aca="1" ref="U46" ca="1">IF(OR(U$11="", INDIRECT("'Data Murid'!$E" &amp; ROW($E39))=""), "", IF(ISNUMBER(SEARCH(TEXT(U$11,"mm/dd/yyyy"), INDIRECT("'Data Murid'!$E" &amp; ROW($E39)))), "✔", ""))</f>
        <v>#REF!</v>
      </c>
      <c r="V46" s="44" t="e" cm="1">
        <f t="array" aca="1" ref="V46" ca="1">IF(OR(V$11="", INDIRECT("'Data Murid'!$E" &amp; ROW($E39))=""), "", IF(ISNUMBER(SEARCH(TEXT(V$11,"mm/dd/yyyy"), INDIRECT("'Data Murid'!$E" &amp; ROW($E39)))), "✔", ""))</f>
        <v>#REF!</v>
      </c>
      <c r="W46" s="44" t="e" cm="1">
        <f t="array" aca="1" ref="W46" ca="1">IF(OR(W$11="", INDIRECT("'Data Murid'!$E" &amp; ROW($E39))=""), "", IF(ISNUMBER(SEARCH(TEXT(W$11,"mm/dd/yyyy"), INDIRECT("'Data Murid'!$E" &amp; ROW($E39)))), "✔", ""))</f>
        <v>#REF!</v>
      </c>
      <c r="X46" s="44" t="e" cm="1">
        <f t="array" aca="1" ref="X46" ca="1">IF(OR(X$11="", INDIRECT("'Data Murid'!$E" &amp; ROW($E39))=""), "", IF(ISNUMBER(SEARCH(TEXT(X$11,"mm/dd/yyyy"), INDIRECT("'Data Murid'!$E" &amp; ROW($E39)))), "✔", ""))</f>
        <v>#REF!</v>
      </c>
      <c r="Y46" s="44" t="e" cm="1">
        <f t="array" aca="1" ref="Y46" ca="1">IF(OR(Y$11="", INDIRECT("'Data Murid'!$E" &amp; ROW($E39))=""), "", IF(ISNUMBER(SEARCH(TEXT(Y$11,"mm/dd/yyyy"), INDIRECT("'Data Murid'!$E" &amp; ROW($E39)))), "✔", ""))</f>
        <v>#REF!</v>
      </c>
      <c r="Z46" s="44" t="e" cm="1">
        <f t="array" aca="1" ref="Z46" ca="1">IF(OR(Z$11="", INDIRECT("'Data Murid'!$E" &amp; ROW($E39))=""), "", IF(ISNUMBER(SEARCH(TEXT(Z$11,"mm/dd/yyyy"), INDIRECT("'Data Murid'!$E" &amp; ROW($E39)))), "✔", ""))</f>
        <v>#REF!</v>
      </c>
      <c r="AA46" s="44" t="e" cm="1">
        <f t="array" aca="1" ref="AA46" ca="1">IF(OR(AA$11="", INDIRECT("'Data Murid'!$E" &amp; ROW($E39))=""), "", IF(ISNUMBER(SEARCH(TEXT(AA$11,"mm/dd/yyyy"), INDIRECT("'Data Murid'!$E" &amp; ROW($E39)))), "✔", ""))</f>
        <v>#REF!</v>
      </c>
      <c r="AB46" s="44" t="e" cm="1">
        <f t="array" aca="1" ref="AB46" ca="1">IF(OR(AB$11="", INDIRECT("'Data Murid'!$E" &amp; ROW($E39))=""), "", IF(ISNUMBER(SEARCH(TEXT(AB$11,"mm/dd/yyyy"), INDIRECT("'Data Murid'!$E" &amp; ROW($E39)))), "✔", ""))</f>
        <v>#REF!</v>
      </c>
      <c r="AC46" s="44" t="e" cm="1">
        <f t="array" aca="1" ref="AC46" ca="1">IF(OR(AC$11="", INDIRECT("'Data Murid'!$E" &amp; ROW($E39))=""), "", IF(ISNUMBER(SEARCH(TEXT(AC$11,"mm/dd/yyyy"), INDIRECT("'Data Murid'!$E" &amp; ROW($E39)))), "✔", ""))</f>
        <v>#REF!</v>
      </c>
      <c r="AD46" s="44" t="e" cm="1">
        <f t="array" aca="1" ref="AD46" ca="1">IF(OR(AD$11="", INDIRECT("'Data Murid'!$E" &amp; ROW($E39))=""), "", IF(ISNUMBER(SEARCH(TEXT(AD$11,"mm/dd/yyyy"), INDIRECT("'Data Murid'!$E" &amp; ROW($E39)))), "✔", ""))</f>
        <v>#REF!</v>
      </c>
      <c r="AE46" s="44" t="e" cm="1">
        <f t="array" aca="1" ref="AE46" ca="1">IF(OR(AE$11="", INDIRECT("'Data Murid'!$E" &amp; ROW($E39))=""), "", IF(ISNUMBER(SEARCH(TEXT(AE$11,"mm/dd/yyyy"), INDIRECT("'Data Murid'!$E" &amp; ROW($E39)))), "✔", ""))</f>
        <v>#REF!</v>
      </c>
      <c r="AF46" s="44" t="e" cm="1">
        <f t="array" aca="1" ref="AF46" ca="1">IF(OR(AF$11="", INDIRECT("'Data Murid'!$E" &amp; ROW($E39))=""), "", IF(ISNUMBER(SEARCH(TEXT(AF$11,"mm/dd/yyyy"), INDIRECT("'Data Murid'!$E" &amp; ROW($E39)))), "✔", ""))</f>
        <v>#REF!</v>
      </c>
      <c r="AG46" s="44" t="e" cm="1">
        <f t="array" aca="1" ref="AG46" ca="1">IF(OR(AG$11="", INDIRECT("'Data Murid'!$E" &amp; ROW($E39))=""), "", IF(ISNUMBER(SEARCH(TEXT(AG$11,"mm/dd/yyyy"), INDIRECT("'Data Murid'!$E" &amp; ROW($E39)))), "✔", ""))</f>
        <v>#REF!</v>
      </c>
      <c r="AH46" s="44" t="e" cm="1">
        <f t="array" aca="1" ref="AH46" ca="1">IF(OR(AH$11="", INDIRECT("'Data Murid'!$E" &amp; ROW($E39))=""), "", IF(ISNUMBER(SEARCH(TEXT(AH$11,"mm/dd/yyyy"), INDIRECT("'Data Murid'!$E" &amp; ROW($E39)))), "✔", ""))</f>
        <v>#REF!</v>
      </c>
      <c r="AI46" s="44" t="e" cm="1">
        <f t="array" aca="1" ref="AI46" ca="1">IF(OR(AI$11="", INDIRECT("'Data Murid'!$E" &amp; ROW($E39))=""), "", IF(ISNUMBER(SEARCH(TEXT(AI$11,"mm/dd/yyyy"), INDIRECT("'Data Murid'!$E" &amp; ROW($E39)))), "✔", ""))</f>
        <v>#REF!</v>
      </c>
      <c r="AJ46" s="40">
        <f t="shared" ca="1" si="2"/>
        <v>0</v>
      </c>
    </row>
    <row r="47" spans="1:36" ht="14.25" customHeight="1" x14ac:dyDescent="0.25">
      <c r="A47" s="27">
        <v>33</v>
      </c>
      <c r="B47" s="25" t="e">
        <f ca="1">'rekap absensi seluruhnya'!B52</f>
        <v>#REF!</v>
      </c>
      <c r="C47" s="52" t="e">
        <f ca="1">'rekap absensi seluruhnya'!C52</f>
        <v>#REF!</v>
      </c>
      <c r="D47" s="25" t="e">
        <f ca="1">'rekap absensi seluruhnya'!D52</f>
        <v>#REF!</v>
      </c>
      <c r="E47" s="44" t="e" cm="1">
        <f t="array" aca="1" ref="E47" ca="1">IF(OR(E$11="", INDIRECT("'Data Murid'!$E" &amp; ROW($E40))=""), "", IF(ISNUMBER(SEARCH(TEXT(E$11,"mm/dd/yyyy"), INDIRECT("'Data Murid'!$E" &amp; ROW($E40)))), "✔", ""))</f>
        <v>#REF!</v>
      </c>
      <c r="F47" s="44" t="e" cm="1">
        <f t="array" aca="1" ref="F47" ca="1">IF(OR(F$11="", INDIRECT("'Data Murid'!$E" &amp; ROW($E40))=""), "", IF(ISNUMBER(SEARCH(TEXT(F$11,"mm/dd/yyyy"), INDIRECT("'Data Murid'!$E" &amp; ROW($E40)))), "✔", ""))</f>
        <v>#REF!</v>
      </c>
      <c r="G47" s="44" t="e" cm="1">
        <f t="array" aca="1" ref="G47" ca="1">IF(OR(G$11="", INDIRECT("'Data Murid'!$E" &amp; ROW($E40))=""), "", IF(ISNUMBER(SEARCH(TEXT(G$11,"mm/dd/yyyy"), INDIRECT("'Data Murid'!$E" &amp; ROW($E40)))), "✔", ""))</f>
        <v>#REF!</v>
      </c>
      <c r="H47" s="44" t="e" cm="1">
        <f t="array" aca="1" ref="H47" ca="1">IF(OR(H$11="", INDIRECT("'Data Murid'!$E" &amp; ROW($E40))=""), "", IF(ISNUMBER(SEARCH(TEXT(H$11,"mm/dd/yyyy"), INDIRECT("'Data Murid'!$E" &amp; ROW($E40)))), "✔", ""))</f>
        <v>#REF!</v>
      </c>
      <c r="I47" s="44" t="e" cm="1">
        <f t="array" aca="1" ref="I47" ca="1">IF(OR(I$11="", INDIRECT("'Data Murid'!$E" &amp; ROW($E40))=""), "", IF(ISNUMBER(SEARCH(TEXT(I$11,"mm/dd/yyyy"), INDIRECT("'Data Murid'!$E" &amp; ROW($E40)))), "✔", ""))</f>
        <v>#REF!</v>
      </c>
      <c r="J47" s="44" t="e" cm="1">
        <f t="array" aca="1" ref="J47" ca="1">IF(OR(J$11="", INDIRECT("'Data Murid'!$E" &amp; ROW($E40))=""), "", IF(ISNUMBER(SEARCH(TEXT(J$11,"mm/dd/yyyy"), INDIRECT("'Data Murid'!$E" &amp; ROW($E40)))), "✔", ""))</f>
        <v>#REF!</v>
      </c>
      <c r="K47" s="44" t="e" cm="1">
        <f t="array" aca="1" ref="K47" ca="1">IF(OR(K$11="", INDIRECT("'Data Murid'!$E" &amp; ROW($E40))=""), "", IF(ISNUMBER(SEARCH(TEXT(K$11,"mm/dd/yyyy"), INDIRECT("'Data Murid'!$E" &amp; ROW($E40)))), "✔", ""))</f>
        <v>#REF!</v>
      </c>
      <c r="L47" s="44" t="e" cm="1">
        <f t="array" aca="1" ref="L47" ca="1">IF(OR(L$11="", INDIRECT("'Data Murid'!$E" &amp; ROW($E40))=""), "", IF(ISNUMBER(SEARCH(TEXT(L$11,"mm/dd/yyyy"), INDIRECT("'Data Murid'!$E" &amp; ROW($E40)))), "✔", ""))</f>
        <v>#REF!</v>
      </c>
      <c r="M47" s="44" t="e" cm="1">
        <f t="array" aca="1" ref="M47" ca="1">IF(OR(M$11="", INDIRECT("'Data Murid'!$E" &amp; ROW($E40))=""), "", IF(ISNUMBER(SEARCH(TEXT(M$11,"mm/dd/yyyy"), INDIRECT("'Data Murid'!$E" &amp; ROW($E40)))), "✔", ""))</f>
        <v>#REF!</v>
      </c>
      <c r="N47" s="44" t="e" cm="1">
        <f t="array" aca="1" ref="N47" ca="1">IF(OR(N$11="", INDIRECT("'Data Murid'!$E" &amp; ROW($E40))=""), "", IF(ISNUMBER(SEARCH(TEXT(N$11,"mm/dd/yyyy"), INDIRECT("'Data Murid'!$E" &amp; ROW($E40)))), "✔", ""))</f>
        <v>#REF!</v>
      </c>
      <c r="O47" s="44" t="e" cm="1">
        <f t="array" aca="1" ref="O47" ca="1">IF(OR(O$11="", INDIRECT("'Data Murid'!$E" &amp; ROW($E40))=""), "", IF(ISNUMBER(SEARCH(TEXT(O$11,"mm/dd/yyyy"), INDIRECT("'Data Murid'!$E" &amp; ROW($E40)))), "✔", ""))</f>
        <v>#REF!</v>
      </c>
      <c r="P47" s="44" t="e" cm="1">
        <f t="array" aca="1" ref="P47" ca="1">IF(OR(P$11="", INDIRECT("'Data Murid'!$E" &amp; ROW($E40))=""), "", IF(ISNUMBER(SEARCH(TEXT(P$11,"mm/dd/yyyy"), INDIRECT("'Data Murid'!$E" &amp; ROW($E40)))), "✔", ""))</f>
        <v>#REF!</v>
      </c>
      <c r="Q47" s="44" t="e" cm="1">
        <f t="array" aca="1" ref="Q47" ca="1">IF(OR(Q$11="", INDIRECT("'Data Murid'!$E" &amp; ROW($E40))=""), "", IF(ISNUMBER(SEARCH(TEXT(Q$11,"mm/dd/yyyy"), INDIRECT("'Data Murid'!$E" &amp; ROW($E40)))), "✔", ""))</f>
        <v>#REF!</v>
      </c>
      <c r="R47" s="44" t="e" cm="1">
        <f t="array" aca="1" ref="R47" ca="1">IF(OR(R$11="", INDIRECT("'Data Murid'!$E" &amp; ROW($E40))=""), "", IF(ISNUMBER(SEARCH(TEXT(R$11,"mm/dd/yyyy"), INDIRECT("'Data Murid'!$E" &amp; ROW($E40)))), "✔", ""))</f>
        <v>#REF!</v>
      </c>
      <c r="S47" s="44" t="e" cm="1">
        <f t="array" aca="1" ref="S47" ca="1">IF(OR(S$11="", INDIRECT("'Data Murid'!$E" &amp; ROW($E40))=""), "", IF(ISNUMBER(SEARCH(TEXT(S$11,"mm/dd/yyyy"), INDIRECT("'Data Murid'!$E" &amp; ROW($E40)))), "✔", ""))</f>
        <v>#REF!</v>
      </c>
      <c r="T47" s="44" t="e" cm="1">
        <f t="array" aca="1" ref="T47" ca="1">IF(OR(T$11="", INDIRECT("'Data Murid'!$E" &amp; ROW($E40))=""), "", IF(ISNUMBER(SEARCH(TEXT(T$11,"mm/dd/yyyy"), INDIRECT("'Data Murid'!$E" &amp; ROW($E40)))), "✔", ""))</f>
        <v>#REF!</v>
      </c>
      <c r="U47" s="44" t="e" cm="1">
        <f t="array" aca="1" ref="U47" ca="1">IF(OR(U$11="", INDIRECT("'Data Murid'!$E" &amp; ROW($E40))=""), "", IF(ISNUMBER(SEARCH(TEXT(U$11,"mm/dd/yyyy"), INDIRECT("'Data Murid'!$E" &amp; ROW($E40)))), "✔", ""))</f>
        <v>#REF!</v>
      </c>
      <c r="V47" s="44" t="e" cm="1">
        <f t="array" aca="1" ref="V47" ca="1">IF(OR(V$11="", INDIRECT("'Data Murid'!$E" &amp; ROW($E40))=""), "", IF(ISNUMBER(SEARCH(TEXT(V$11,"mm/dd/yyyy"), INDIRECT("'Data Murid'!$E" &amp; ROW($E40)))), "✔", ""))</f>
        <v>#REF!</v>
      </c>
      <c r="W47" s="44" t="e" cm="1">
        <f t="array" aca="1" ref="W47" ca="1">IF(OR(W$11="", INDIRECT("'Data Murid'!$E" &amp; ROW($E40))=""), "", IF(ISNUMBER(SEARCH(TEXT(W$11,"mm/dd/yyyy"), INDIRECT("'Data Murid'!$E" &amp; ROW($E40)))), "✔", ""))</f>
        <v>#REF!</v>
      </c>
      <c r="X47" s="44" t="e" cm="1">
        <f t="array" aca="1" ref="X47" ca="1">IF(OR(X$11="", INDIRECT("'Data Murid'!$E" &amp; ROW($E40))=""), "", IF(ISNUMBER(SEARCH(TEXT(X$11,"mm/dd/yyyy"), INDIRECT("'Data Murid'!$E" &amp; ROW($E40)))), "✔", ""))</f>
        <v>#REF!</v>
      </c>
      <c r="Y47" s="44" t="e" cm="1">
        <f t="array" aca="1" ref="Y47" ca="1">IF(OR(Y$11="", INDIRECT("'Data Murid'!$E" &amp; ROW($E40))=""), "", IF(ISNUMBER(SEARCH(TEXT(Y$11,"mm/dd/yyyy"), INDIRECT("'Data Murid'!$E" &amp; ROW($E40)))), "✔", ""))</f>
        <v>#REF!</v>
      </c>
      <c r="Z47" s="44" t="e" cm="1">
        <f t="array" aca="1" ref="Z47" ca="1">IF(OR(Z$11="", INDIRECT("'Data Murid'!$E" &amp; ROW($E40))=""), "", IF(ISNUMBER(SEARCH(TEXT(Z$11,"mm/dd/yyyy"), INDIRECT("'Data Murid'!$E" &amp; ROW($E40)))), "✔", ""))</f>
        <v>#REF!</v>
      </c>
      <c r="AA47" s="44" t="e" cm="1">
        <f t="array" aca="1" ref="AA47" ca="1">IF(OR(AA$11="", INDIRECT("'Data Murid'!$E" &amp; ROW($E40))=""), "", IF(ISNUMBER(SEARCH(TEXT(AA$11,"mm/dd/yyyy"), INDIRECT("'Data Murid'!$E" &amp; ROW($E40)))), "✔", ""))</f>
        <v>#REF!</v>
      </c>
      <c r="AB47" s="44" t="e" cm="1">
        <f t="array" aca="1" ref="AB47" ca="1">IF(OR(AB$11="", INDIRECT("'Data Murid'!$E" &amp; ROW($E40))=""), "", IF(ISNUMBER(SEARCH(TEXT(AB$11,"mm/dd/yyyy"), INDIRECT("'Data Murid'!$E" &amp; ROW($E40)))), "✔", ""))</f>
        <v>#REF!</v>
      </c>
      <c r="AC47" s="44" t="e" cm="1">
        <f t="array" aca="1" ref="AC47" ca="1">IF(OR(AC$11="", INDIRECT("'Data Murid'!$E" &amp; ROW($E40))=""), "", IF(ISNUMBER(SEARCH(TEXT(AC$11,"mm/dd/yyyy"), INDIRECT("'Data Murid'!$E" &amp; ROW($E40)))), "✔", ""))</f>
        <v>#REF!</v>
      </c>
      <c r="AD47" s="44" t="e" cm="1">
        <f t="array" aca="1" ref="AD47" ca="1">IF(OR(AD$11="", INDIRECT("'Data Murid'!$E" &amp; ROW($E40))=""), "", IF(ISNUMBER(SEARCH(TEXT(AD$11,"mm/dd/yyyy"), INDIRECT("'Data Murid'!$E" &amp; ROW($E40)))), "✔", ""))</f>
        <v>#REF!</v>
      </c>
      <c r="AE47" s="44" t="e" cm="1">
        <f t="array" aca="1" ref="AE47" ca="1">IF(OR(AE$11="", INDIRECT("'Data Murid'!$E" &amp; ROW($E40))=""), "", IF(ISNUMBER(SEARCH(TEXT(AE$11,"mm/dd/yyyy"), INDIRECT("'Data Murid'!$E" &amp; ROW($E40)))), "✔", ""))</f>
        <v>#REF!</v>
      </c>
      <c r="AF47" s="44" t="e" cm="1">
        <f t="array" aca="1" ref="AF47" ca="1">IF(OR(AF$11="", INDIRECT("'Data Murid'!$E" &amp; ROW($E40))=""), "", IF(ISNUMBER(SEARCH(TEXT(AF$11,"mm/dd/yyyy"), INDIRECT("'Data Murid'!$E" &amp; ROW($E40)))), "✔", ""))</f>
        <v>#REF!</v>
      </c>
      <c r="AG47" s="44" t="e" cm="1">
        <f t="array" aca="1" ref="AG47" ca="1">IF(OR(AG$11="", INDIRECT("'Data Murid'!$E" &amp; ROW($E40))=""), "", IF(ISNUMBER(SEARCH(TEXT(AG$11,"mm/dd/yyyy"), INDIRECT("'Data Murid'!$E" &amp; ROW($E40)))), "✔", ""))</f>
        <v>#REF!</v>
      </c>
      <c r="AH47" s="44" t="e" cm="1">
        <f t="array" aca="1" ref="AH47" ca="1">IF(OR(AH$11="", INDIRECT("'Data Murid'!$E" &amp; ROW($E40))=""), "", IF(ISNUMBER(SEARCH(TEXT(AH$11,"mm/dd/yyyy"), INDIRECT("'Data Murid'!$E" &amp; ROW($E40)))), "✔", ""))</f>
        <v>#REF!</v>
      </c>
      <c r="AI47" s="44" t="e" cm="1">
        <f t="array" aca="1" ref="AI47" ca="1">IF(OR(AI$11="", INDIRECT("'Data Murid'!$E" &amp; ROW($E40))=""), "", IF(ISNUMBER(SEARCH(TEXT(AI$11,"mm/dd/yyyy"), INDIRECT("'Data Murid'!$E" &amp; ROW($E40)))), "✔", ""))</f>
        <v>#REF!</v>
      </c>
      <c r="AJ47" s="40">
        <f t="shared" ca="1" si="2"/>
        <v>0</v>
      </c>
    </row>
    <row r="48" spans="1:36" ht="14.25" customHeight="1" x14ac:dyDescent="0.25">
      <c r="A48" s="27">
        <v>34</v>
      </c>
      <c r="B48" s="25" t="e">
        <f ca="1">'rekap absensi seluruhnya'!B53</f>
        <v>#REF!</v>
      </c>
      <c r="C48" s="52" t="e">
        <f ca="1">'rekap absensi seluruhnya'!C53</f>
        <v>#REF!</v>
      </c>
      <c r="D48" s="25" t="e">
        <f ca="1">'rekap absensi seluruhnya'!D53</f>
        <v>#REF!</v>
      </c>
      <c r="E48" s="44" t="e" cm="1">
        <f t="array" aca="1" ref="E48" ca="1">IF(OR(E$11="", INDIRECT("'Data Murid'!$E" &amp; ROW($E41))=""), "", IF(ISNUMBER(SEARCH(TEXT(E$11,"mm/dd/yyyy"), INDIRECT("'Data Murid'!$E" &amp; ROW($E41)))), "✔", ""))</f>
        <v>#REF!</v>
      </c>
      <c r="F48" s="44" t="e" cm="1">
        <f t="array" aca="1" ref="F48" ca="1">IF(OR(F$11="", INDIRECT("'Data Murid'!$E" &amp; ROW($E41))=""), "", IF(ISNUMBER(SEARCH(TEXT(F$11,"mm/dd/yyyy"), INDIRECT("'Data Murid'!$E" &amp; ROW($E41)))), "✔", ""))</f>
        <v>#REF!</v>
      </c>
      <c r="G48" s="44" t="e" cm="1">
        <f t="array" aca="1" ref="G48" ca="1">IF(OR(G$11="", INDIRECT("'Data Murid'!$E" &amp; ROW($E41))=""), "", IF(ISNUMBER(SEARCH(TEXT(G$11,"mm/dd/yyyy"), INDIRECT("'Data Murid'!$E" &amp; ROW($E41)))), "✔", ""))</f>
        <v>#REF!</v>
      </c>
      <c r="H48" s="44" t="e" cm="1">
        <f t="array" aca="1" ref="H48" ca="1">IF(OR(H$11="", INDIRECT("'Data Murid'!$E" &amp; ROW($E41))=""), "", IF(ISNUMBER(SEARCH(TEXT(H$11,"mm/dd/yyyy"), INDIRECT("'Data Murid'!$E" &amp; ROW($E41)))), "✔", ""))</f>
        <v>#REF!</v>
      </c>
      <c r="I48" s="44" t="e" cm="1">
        <f t="array" aca="1" ref="I48" ca="1">IF(OR(I$11="", INDIRECT("'Data Murid'!$E" &amp; ROW($E41))=""), "", IF(ISNUMBER(SEARCH(TEXT(I$11,"mm/dd/yyyy"), INDIRECT("'Data Murid'!$E" &amp; ROW($E41)))), "✔", ""))</f>
        <v>#REF!</v>
      </c>
      <c r="J48" s="44" t="e" cm="1">
        <f t="array" aca="1" ref="J48" ca="1">IF(OR(J$11="", INDIRECT("'Data Murid'!$E" &amp; ROW($E41))=""), "", IF(ISNUMBER(SEARCH(TEXT(J$11,"mm/dd/yyyy"), INDIRECT("'Data Murid'!$E" &amp; ROW($E41)))), "✔", ""))</f>
        <v>#REF!</v>
      </c>
      <c r="K48" s="44" t="e" cm="1">
        <f t="array" aca="1" ref="K48" ca="1">IF(OR(K$11="", INDIRECT("'Data Murid'!$E" &amp; ROW($E41))=""), "", IF(ISNUMBER(SEARCH(TEXT(K$11,"mm/dd/yyyy"), INDIRECT("'Data Murid'!$E" &amp; ROW($E41)))), "✔", ""))</f>
        <v>#REF!</v>
      </c>
      <c r="L48" s="44" t="e" cm="1">
        <f t="array" aca="1" ref="L48" ca="1">IF(OR(L$11="", INDIRECT("'Data Murid'!$E" &amp; ROW($E41))=""), "", IF(ISNUMBER(SEARCH(TEXT(L$11,"mm/dd/yyyy"), INDIRECT("'Data Murid'!$E" &amp; ROW($E41)))), "✔", ""))</f>
        <v>#REF!</v>
      </c>
      <c r="M48" s="44" t="e" cm="1">
        <f t="array" aca="1" ref="M48" ca="1">IF(OR(M$11="", INDIRECT("'Data Murid'!$E" &amp; ROW($E41))=""), "", IF(ISNUMBER(SEARCH(TEXT(M$11,"mm/dd/yyyy"), INDIRECT("'Data Murid'!$E" &amp; ROW($E41)))), "✔", ""))</f>
        <v>#REF!</v>
      </c>
      <c r="N48" s="44" t="e" cm="1">
        <f t="array" aca="1" ref="N48" ca="1">IF(OR(N$11="", INDIRECT("'Data Murid'!$E" &amp; ROW($E41))=""), "", IF(ISNUMBER(SEARCH(TEXT(N$11,"mm/dd/yyyy"), INDIRECT("'Data Murid'!$E" &amp; ROW($E41)))), "✔", ""))</f>
        <v>#REF!</v>
      </c>
      <c r="O48" s="44" t="e" cm="1">
        <f t="array" aca="1" ref="O48" ca="1">IF(OR(O$11="", INDIRECT("'Data Murid'!$E" &amp; ROW($E41))=""), "", IF(ISNUMBER(SEARCH(TEXT(O$11,"mm/dd/yyyy"), INDIRECT("'Data Murid'!$E" &amp; ROW($E41)))), "✔", ""))</f>
        <v>#REF!</v>
      </c>
      <c r="P48" s="44" t="e" cm="1">
        <f t="array" aca="1" ref="P48" ca="1">IF(OR(P$11="", INDIRECT("'Data Murid'!$E" &amp; ROW($E41))=""), "", IF(ISNUMBER(SEARCH(TEXT(P$11,"mm/dd/yyyy"), INDIRECT("'Data Murid'!$E" &amp; ROW($E41)))), "✔", ""))</f>
        <v>#REF!</v>
      </c>
      <c r="Q48" s="44" t="e" cm="1">
        <f t="array" aca="1" ref="Q48" ca="1">IF(OR(Q$11="", INDIRECT("'Data Murid'!$E" &amp; ROW($E41))=""), "", IF(ISNUMBER(SEARCH(TEXT(Q$11,"mm/dd/yyyy"), INDIRECT("'Data Murid'!$E" &amp; ROW($E41)))), "✔", ""))</f>
        <v>#REF!</v>
      </c>
      <c r="R48" s="44" t="e" cm="1">
        <f t="array" aca="1" ref="R48" ca="1">IF(OR(R$11="", INDIRECT("'Data Murid'!$E" &amp; ROW($E41))=""), "", IF(ISNUMBER(SEARCH(TEXT(R$11,"mm/dd/yyyy"), INDIRECT("'Data Murid'!$E" &amp; ROW($E41)))), "✔", ""))</f>
        <v>#REF!</v>
      </c>
      <c r="S48" s="44" t="e" cm="1">
        <f t="array" aca="1" ref="S48" ca="1">IF(OR(S$11="", INDIRECT("'Data Murid'!$E" &amp; ROW($E41))=""), "", IF(ISNUMBER(SEARCH(TEXT(S$11,"mm/dd/yyyy"), INDIRECT("'Data Murid'!$E" &amp; ROW($E41)))), "✔", ""))</f>
        <v>#REF!</v>
      </c>
      <c r="T48" s="44" t="e" cm="1">
        <f t="array" aca="1" ref="T48" ca="1">IF(OR(T$11="", INDIRECT("'Data Murid'!$E" &amp; ROW($E41))=""), "", IF(ISNUMBER(SEARCH(TEXT(T$11,"mm/dd/yyyy"), INDIRECT("'Data Murid'!$E" &amp; ROW($E41)))), "✔", ""))</f>
        <v>#REF!</v>
      </c>
      <c r="U48" s="44" t="e" cm="1">
        <f t="array" aca="1" ref="U48" ca="1">IF(OR(U$11="", INDIRECT("'Data Murid'!$E" &amp; ROW($E41))=""), "", IF(ISNUMBER(SEARCH(TEXT(U$11,"mm/dd/yyyy"), INDIRECT("'Data Murid'!$E" &amp; ROW($E41)))), "✔", ""))</f>
        <v>#REF!</v>
      </c>
      <c r="V48" s="44" t="e" cm="1">
        <f t="array" aca="1" ref="V48" ca="1">IF(OR(V$11="", INDIRECT("'Data Murid'!$E" &amp; ROW($E41))=""), "", IF(ISNUMBER(SEARCH(TEXT(V$11,"mm/dd/yyyy"), INDIRECT("'Data Murid'!$E" &amp; ROW($E41)))), "✔", ""))</f>
        <v>#REF!</v>
      </c>
      <c r="W48" s="44" t="e" cm="1">
        <f t="array" aca="1" ref="W48" ca="1">IF(OR(W$11="", INDIRECT("'Data Murid'!$E" &amp; ROW($E41))=""), "", IF(ISNUMBER(SEARCH(TEXT(W$11,"mm/dd/yyyy"), INDIRECT("'Data Murid'!$E" &amp; ROW($E41)))), "✔", ""))</f>
        <v>#REF!</v>
      </c>
      <c r="X48" s="44" t="e" cm="1">
        <f t="array" aca="1" ref="X48" ca="1">IF(OR(X$11="", INDIRECT("'Data Murid'!$E" &amp; ROW($E41))=""), "", IF(ISNUMBER(SEARCH(TEXT(X$11,"mm/dd/yyyy"), INDIRECT("'Data Murid'!$E" &amp; ROW($E41)))), "✔", ""))</f>
        <v>#REF!</v>
      </c>
      <c r="Y48" s="44" t="e" cm="1">
        <f t="array" aca="1" ref="Y48" ca="1">IF(OR(Y$11="", INDIRECT("'Data Murid'!$E" &amp; ROW($E41))=""), "", IF(ISNUMBER(SEARCH(TEXT(Y$11,"mm/dd/yyyy"), INDIRECT("'Data Murid'!$E" &amp; ROW($E41)))), "✔", ""))</f>
        <v>#REF!</v>
      </c>
      <c r="Z48" s="44" t="e" cm="1">
        <f t="array" aca="1" ref="Z48" ca="1">IF(OR(Z$11="", INDIRECT("'Data Murid'!$E" &amp; ROW($E41))=""), "", IF(ISNUMBER(SEARCH(TEXT(Z$11,"mm/dd/yyyy"), INDIRECT("'Data Murid'!$E" &amp; ROW($E41)))), "✔", ""))</f>
        <v>#REF!</v>
      </c>
      <c r="AA48" s="44" t="e" cm="1">
        <f t="array" aca="1" ref="AA48" ca="1">IF(OR(AA$11="", INDIRECT("'Data Murid'!$E" &amp; ROW($E41))=""), "", IF(ISNUMBER(SEARCH(TEXT(AA$11,"mm/dd/yyyy"), INDIRECT("'Data Murid'!$E" &amp; ROW($E41)))), "✔", ""))</f>
        <v>#REF!</v>
      </c>
      <c r="AB48" s="44" t="e" cm="1">
        <f t="array" aca="1" ref="AB48" ca="1">IF(OR(AB$11="", INDIRECT("'Data Murid'!$E" &amp; ROW($E41))=""), "", IF(ISNUMBER(SEARCH(TEXT(AB$11,"mm/dd/yyyy"), INDIRECT("'Data Murid'!$E" &amp; ROW($E41)))), "✔", ""))</f>
        <v>#REF!</v>
      </c>
      <c r="AC48" s="44" t="e" cm="1">
        <f t="array" aca="1" ref="AC48" ca="1">IF(OR(AC$11="", INDIRECT("'Data Murid'!$E" &amp; ROW($E41))=""), "", IF(ISNUMBER(SEARCH(TEXT(AC$11,"mm/dd/yyyy"), INDIRECT("'Data Murid'!$E" &amp; ROW($E41)))), "✔", ""))</f>
        <v>#REF!</v>
      </c>
      <c r="AD48" s="44" t="e" cm="1">
        <f t="array" aca="1" ref="AD48" ca="1">IF(OR(AD$11="", INDIRECT("'Data Murid'!$E" &amp; ROW($E41))=""), "", IF(ISNUMBER(SEARCH(TEXT(AD$11,"mm/dd/yyyy"), INDIRECT("'Data Murid'!$E" &amp; ROW($E41)))), "✔", ""))</f>
        <v>#REF!</v>
      </c>
      <c r="AE48" s="44" t="e" cm="1">
        <f t="array" aca="1" ref="AE48" ca="1">IF(OR(AE$11="", INDIRECT("'Data Murid'!$E" &amp; ROW($E41))=""), "", IF(ISNUMBER(SEARCH(TEXT(AE$11,"mm/dd/yyyy"), INDIRECT("'Data Murid'!$E" &amp; ROW($E41)))), "✔", ""))</f>
        <v>#REF!</v>
      </c>
      <c r="AF48" s="44" t="e" cm="1">
        <f t="array" aca="1" ref="AF48" ca="1">IF(OR(AF$11="", INDIRECT("'Data Murid'!$E" &amp; ROW($E41))=""), "", IF(ISNUMBER(SEARCH(TEXT(AF$11,"mm/dd/yyyy"), INDIRECT("'Data Murid'!$E" &amp; ROW($E41)))), "✔", ""))</f>
        <v>#REF!</v>
      </c>
      <c r="AG48" s="44" t="e" cm="1">
        <f t="array" aca="1" ref="AG48" ca="1">IF(OR(AG$11="", INDIRECT("'Data Murid'!$E" &amp; ROW($E41))=""), "", IF(ISNUMBER(SEARCH(TEXT(AG$11,"mm/dd/yyyy"), INDIRECT("'Data Murid'!$E" &amp; ROW($E41)))), "✔", ""))</f>
        <v>#REF!</v>
      </c>
      <c r="AH48" s="44" t="e" cm="1">
        <f t="array" aca="1" ref="AH48" ca="1">IF(OR(AH$11="", INDIRECT("'Data Murid'!$E" &amp; ROW($E41))=""), "", IF(ISNUMBER(SEARCH(TEXT(AH$11,"mm/dd/yyyy"), INDIRECT("'Data Murid'!$E" &amp; ROW($E41)))), "✔", ""))</f>
        <v>#REF!</v>
      </c>
      <c r="AI48" s="44" t="e" cm="1">
        <f t="array" aca="1" ref="AI48" ca="1">IF(OR(AI$11="", INDIRECT("'Data Murid'!$E" &amp; ROW($E41))=""), "", IF(ISNUMBER(SEARCH(TEXT(AI$11,"mm/dd/yyyy"), INDIRECT("'Data Murid'!$E" &amp; ROW($E41)))), "✔", ""))</f>
        <v>#REF!</v>
      </c>
      <c r="AJ48" s="40">
        <f t="shared" ca="1" si="2"/>
        <v>0</v>
      </c>
    </row>
    <row r="49" spans="1:36" ht="14.25" customHeight="1" x14ac:dyDescent="0.25">
      <c r="A49" s="27">
        <v>35</v>
      </c>
      <c r="B49" s="25" t="e">
        <f ca="1">'rekap absensi seluruhnya'!B54</f>
        <v>#REF!</v>
      </c>
      <c r="C49" s="52" t="e">
        <f ca="1">'rekap absensi seluruhnya'!C54</f>
        <v>#REF!</v>
      </c>
      <c r="D49" s="25" t="e">
        <f ca="1">'rekap absensi seluruhnya'!D54</f>
        <v>#REF!</v>
      </c>
      <c r="E49" s="44" t="e" cm="1">
        <f t="array" aca="1" ref="E49" ca="1">IF(OR(E$11="", INDIRECT("'Data Murid'!$E" &amp; ROW($E42))=""), "", IF(ISNUMBER(SEARCH(TEXT(E$11,"mm/dd/yyyy"), INDIRECT("'Data Murid'!$E" &amp; ROW($E42)))), "✔", ""))</f>
        <v>#REF!</v>
      </c>
      <c r="F49" s="44" t="e" cm="1">
        <f t="array" aca="1" ref="F49" ca="1">IF(OR(F$11="", INDIRECT("'Data Murid'!$E" &amp; ROW($E42))=""), "", IF(ISNUMBER(SEARCH(TEXT(F$11,"mm/dd/yyyy"), INDIRECT("'Data Murid'!$E" &amp; ROW($E42)))), "✔", ""))</f>
        <v>#REF!</v>
      </c>
      <c r="G49" s="44" t="e" cm="1">
        <f t="array" aca="1" ref="G49" ca="1">IF(OR(G$11="", INDIRECT("'Data Murid'!$E" &amp; ROW($E42))=""), "", IF(ISNUMBER(SEARCH(TEXT(G$11,"mm/dd/yyyy"), INDIRECT("'Data Murid'!$E" &amp; ROW($E42)))), "✔", ""))</f>
        <v>#REF!</v>
      </c>
      <c r="H49" s="44" t="e" cm="1">
        <f t="array" aca="1" ref="H49" ca="1">IF(OR(H$11="", INDIRECT("'Data Murid'!$E" &amp; ROW($E42))=""), "", IF(ISNUMBER(SEARCH(TEXT(H$11,"mm/dd/yyyy"), INDIRECT("'Data Murid'!$E" &amp; ROW($E42)))), "✔", ""))</f>
        <v>#REF!</v>
      </c>
      <c r="I49" s="44" t="e" cm="1">
        <f t="array" aca="1" ref="I49" ca="1">IF(OR(I$11="", INDIRECT("'Data Murid'!$E" &amp; ROW($E42))=""), "", IF(ISNUMBER(SEARCH(TEXT(I$11,"mm/dd/yyyy"), INDIRECT("'Data Murid'!$E" &amp; ROW($E42)))), "✔", ""))</f>
        <v>#REF!</v>
      </c>
      <c r="J49" s="44" t="e" cm="1">
        <f t="array" aca="1" ref="J49" ca="1">IF(OR(J$11="", INDIRECT("'Data Murid'!$E" &amp; ROW($E42))=""), "", IF(ISNUMBER(SEARCH(TEXT(J$11,"mm/dd/yyyy"), INDIRECT("'Data Murid'!$E" &amp; ROW($E42)))), "✔", ""))</f>
        <v>#REF!</v>
      </c>
      <c r="K49" s="44" t="e" cm="1">
        <f t="array" aca="1" ref="K49" ca="1">IF(OR(K$11="", INDIRECT("'Data Murid'!$E" &amp; ROW($E42))=""), "", IF(ISNUMBER(SEARCH(TEXT(K$11,"mm/dd/yyyy"), INDIRECT("'Data Murid'!$E" &amp; ROW($E42)))), "✔", ""))</f>
        <v>#REF!</v>
      </c>
      <c r="L49" s="44" t="e" cm="1">
        <f t="array" aca="1" ref="L49" ca="1">IF(OR(L$11="", INDIRECT("'Data Murid'!$E" &amp; ROW($E42))=""), "", IF(ISNUMBER(SEARCH(TEXT(L$11,"mm/dd/yyyy"), INDIRECT("'Data Murid'!$E" &amp; ROW($E42)))), "✔", ""))</f>
        <v>#REF!</v>
      </c>
      <c r="M49" s="44" t="e" cm="1">
        <f t="array" aca="1" ref="M49" ca="1">IF(OR(M$11="", INDIRECT("'Data Murid'!$E" &amp; ROW($E42))=""), "", IF(ISNUMBER(SEARCH(TEXT(M$11,"mm/dd/yyyy"), INDIRECT("'Data Murid'!$E" &amp; ROW($E42)))), "✔", ""))</f>
        <v>#REF!</v>
      </c>
      <c r="N49" s="44" t="e" cm="1">
        <f t="array" aca="1" ref="N49" ca="1">IF(OR(N$11="", INDIRECT("'Data Murid'!$E" &amp; ROW($E42))=""), "", IF(ISNUMBER(SEARCH(TEXT(N$11,"mm/dd/yyyy"), INDIRECT("'Data Murid'!$E" &amp; ROW($E42)))), "✔", ""))</f>
        <v>#REF!</v>
      </c>
      <c r="O49" s="44" t="e" cm="1">
        <f t="array" aca="1" ref="O49" ca="1">IF(OR(O$11="", INDIRECT("'Data Murid'!$E" &amp; ROW($E42))=""), "", IF(ISNUMBER(SEARCH(TEXT(O$11,"mm/dd/yyyy"), INDIRECT("'Data Murid'!$E" &amp; ROW($E42)))), "✔", ""))</f>
        <v>#REF!</v>
      </c>
      <c r="P49" s="44" t="e" cm="1">
        <f t="array" aca="1" ref="P49" ca="1">IF(OR(P$11="", INDIRECT("'Data Murid'!$E" &amp; ROW($E42))=""), "", IF(ISNUMBER(SEARCH(TEXT(P$11,"mm/dd/yyyy"), INDIRECT("'Data Murid'!$E" &amp; ROW($E42)))), "✔", ""))</f>
        <v>#REF!</v>
      </c>
      <c r="Q49" s="44" t="e" cm="1">
        <f t="array" aca="1" ref="Q49" ca="1">IF(OR(Q$11="", INDIRECT("'Data Murid'!$E" &amp; ROW($E42))=""), "", IF(ISNUMBER(SEARCH(TEXT(Q$11,"mm/dd/yyyy"), INDIRECT("'Data Murid'!$E" &amp; ROW($E42)))), "✔", ""))</f>
        <v>#REF!</v>
      </c>
      <c r="R49" s="44" t="e" cm="1">
        <f t="array" aca="1" ref="R49" ca="1">IF(OR(R$11="", INDIRECT("'Data Murid'!$E" &amp; ROW($E42))=""), "", IF(ISNUMBER(SEARCH(TEXT(R$11,"mm/dd/yyyy"), INDIRECT("'Data Murid'!$E" &amp; ROW($E42)))), "✔", ""))</f>
        <v>#REF!</v>
      </c>
      <c r="S49" s="44" t="e" cm="1">
        <f t="array" aca="1" ref="S49" ca="1">IF(OR(S$11="", INDIRECT("'Data Murid'!$E" &amp; ROW($E42))=""), "", IF(ISNUMBER(SEARCH(TEXT(S$11,"mm/dd/yyyy"), INDIRECT("'Data Murid'!$E" &amp; ROW($E42)))), "✔", ""))</f>
        <v>#REF!</v>
      </c>
      <c r="T49" s="44" t="e" cm="1">
        <f t="array" aca="1" ref="T49" ca="1">IF(OR(T$11="", INDIRECT("'Data Murid'!$E" &amp; ROW($E42))=""), "", IF(ISNUMBER(SEARCH(TEXT(T$11,"mm/dd/yyyy"), INDIRECT("'Data Murid'!$E" &amp; ROW($E42)))), "✔", ""))</f>
        <v>#REF!</v>
      </c>
      <c r="U49" s="44" t="e" cm="1">
        <f t="array" aca="1" ref="U49" ca="1">IF(OR(U$11="", INDIRECT("'Data Murid'!$E" &amp; ROW($E42))=""), "", IF(ISNUMBER(SEARCH(TEXT(U$11,"mm/dd/yyyy"), INDIRECT("'Data Murid'!$E" &amp; ROW($E42)))), "✔", ""))</f>
        <v>#REF!</v>
      </c>
      <c r="V49" s="44" t="e" cm="1">
        <f t="array" aca="1" ref="V49" ca="1">IF(OR(V$11="", INDIRECT("'Data Murid'!$E" &amp; ROW($E42))=""), "", IF(ISNUMBER(SEARCH(TEXT(V$11,"mm/dd/yyyy"), INDIRECT("'Data Murid'!$E" &amp; ROW($E42)))), "✔", ""))</f>
        <v>#REF!</v>
      </c>
      <c r="W49" s="44" t="e" cm="1">
        <f t="array" aca="1" ref="W49" ca="1">IF(OR(W$11="", INDIRECT("'Data Murid'!$E" &amp; ROW($E42))=""), "", IF(ISNUMBER(SEARCH(TEXT(W$11,"mm/dd/yyyy"), INDIRECT("'Data Murid'!$E" &amp; ROW($E42)))), "✔", ""))</f>
        <v>#REF!</v>
      </c>
      <c r="X49" s="44" t="e" cm="1">
        <f t="array" aca="1" ref="X49" ca="1">IF(OR(X$11="", INDIRECT("'Data Murid'!$E" &amp; ROW($E42))=""), "", IF(ISNUMBER(SEARCH(TEXT(X$11,"mm/dd/yyyy"), INDIRECT("'Data Murid'!$E" &amp; ROW($E42)))), "✔", ""))</f>
        <v>#REF!</v>
      </c>
      <c r="Y49" s="44" t="e" cm="1">
        <f t="array" aca="1" ref="Y49" ca="1">IF(OR(Y$11="", INDIRECT("'Data Murid'!$E" &amp; ROW($E42))=""), "", IF(ISNUMBER(SEARCH(TEXT(Y$11,"mm/dd/yyyy"), INDIRECT("'Data Murid'!$E" &amp; ROW($E42)))), "✔", ""))</f>
        <v>#REF!</v>
      </c>
      <c r="Z49" s="44" t="e" cm="1">
        <f t="array" aca="1" ref="Z49" ca="1">IF(OR(Z$11="", INDIRECT("'Data Murid'!$E" &amp; ROW($E42))=""), "", IF(ISNUMBER(SEARCH(TEXT(Z$11,"mm/dd/yyyy"), INDIRECT("'Data Murid'!$E" &amp; ROW($E42)))), "✔", ""))</f>
        <v>#REF!</v>
      </c>
      <c r="AA49" s="44" t="e" cm="1">
        <f t="array" aca="1" ref="AA49" ca="1">IF(OR(AA$11="", INDIRECT("'Data Murid'!$E" &amp; ROW($E42))=""), "", IF(ISNUMBER(SEARCH(TEXT(AA$11,"mm/dd/yyyy"), INDIRECT("'Data Murid'!$E" &amp; ROW($E42)))), "✔", ""))</f>
        <v>#REF!</v>
      </c>
      <c r="AB49" s="44" t="e" cm="1">
        <f t="array" aca="1" ref="AB49" ca="1">IF(OR(AB$11="", INDIRECT("'Data Murid'!$E" &amp; ROW($E42))=""), "", IF(ISNUMBER(SEARCH(TEXT(AB$11,"mm/dd/yyyy"), INDIRECT("'Data Murid'!$E" &amp; ROW($E42)))), "✔", ""))</f>
        <v>#REF!</v>
      </c>
      <c r="AC49" s="44" t="e" cm="1">
        <f t="array" aca="1" ref="AC49" ca="1">IF(OR(AC$11="", INDIRECT("'Data Murid'!$E" &amp; ROW($E42))=""), "", IF(ISNUMBER(SEARCH(TEXT(AC$11,"mm/dd/yyyy"), INDIRECT("'Data Murid'!$E" &amp; ROW($E42)))), "✔", ""))</f>
        <v>#REF!</v>
      </c>
      <c r="AD49" s="44" t="e" cm="1">
        <f t="array" aca="1" ref="AD49" ca="1">IF(OR(AD$11="", INDIRECT("'Data Murid'!$E" &amp; ROW($E42))=""), "", IF(ISNUMBER(SEARCH(TEXT(AD$11,"mm/dd/yyyy"), INDIRECT("'Data Murid'!$E" &amp; ROW($E42)))), "✔", ""))</f>
        <v>#REF!</v>
      </c>
      <c r="AE49" s="44" t="e" cm="1">
        <f t="array" aca="1" ref="AE49" ca="1">IF(OR(AE$11="", INDIRECT("'Data Murid'!$E" &amp; ROW($E42))=""), "", IF(ISNUMBER(SEARCH(TEXT(AE$11,"mm/dd/yyyy"), INDIRECT("'Data Murid'!$E" &amp; ROW($E42)))), "✔", ""))</f>
        <v>#REF!</v>
      </c>
      <c r="AF49" s="44" t="e" cm="1">
        <f t="array" aca="1" ref="AF49" ca="1">IF(OR(AF$11="", INDIRECT("'Data Murid'!$E" &amp; ROW($E42))=""), "", IF(ISNUMBER(SEARCH(TEXT(AF$11,"mm/dd/yyyy"), INDIRECT("'Data Murid'!$E" &amp; ROW($E42)))), "✔", ""))</f>
        <v>#REF!</v>
      </c>
      <c r="AG49" s="44" t="e" cm="1">
        <f t="array" aca="1" ref="AG49" ca="1">IF(OR(AG$11="", INDIRECT("'Data Murid'!$E" &amp; ROW($E42))=""), "", IF(ISNUMBER(SEARCH(TEXT(AG$11,"mm/dd/yyyy"), INDIRECT("'Data Murid'!$E" &amp; ROW($E42)))), "✔", ""))</f>
        <v>#REF!</v>
      </c>
      <c r="AH49" s="44" t="e" cm="1">
        <f t="array" aca="1" ref="AH49" ca="1">IF(OR(AH$11="", INDIRECT("'Data Murid'!$E" &amp; ROW($E42))=""), "", IF(ISNUMBER(SEARCH(TEXT(AH$11,"mm/dd/yyyy"), INDIRECT("'Data Murid'!$E" &amp; ROW($E42)))), "✔", ""))</f>
        <v>#REF!</v>
      </c>
      <c r="AI49" s="44" t="e" cm="1">
        <f t="array" aca="1" ref="AI49" ca="1">IF(OR(AI$11="", INDIRECT("'Data Murid'!$E" &amp; ROW($E42))=""), "", IF(ISNUMBER(SEARCH(TEXT(AI$11,"mm/dd/yyyy"), INDIRECT("'Data Murid'!$E" &amp; ROW($E42)))), "✔", ""))</f>
        <v>#REF!</v>
      </c>
      <c r="AJ49" s="40">
        <f t="shared" ca="1" si="2"/>
        <v>0</v>
      </c>
    </row>
    <row r="50" spans="1:36" ht="14.25" customHeight="1" x14ac:dyDescent="0.25">
      <c r="A50" s="27">
        <v>36</v>
      </c>
      <c r="B50" s="25" t="e">
        <f ca="1">'rekap absensi seluruhnya'!B55</f>
        <v>#REF!</v>
      </c>
      <c r="C50" s="52" t="e">
        <f ca="1">'rekap absensi seluruhnya'!C55</f>
        <v>#REF!</v>
      </c>
      <c r="D50" s="25" t="e">
        <f ca="1">'rekap absensi seluruhnya'!D55</f>
        <v>#REF!</v>
      </c>
      <c r="E50" s="44" t="e" cm="1">
        <f t="array" aca="1" ref="E50" ca="1">IF(OR(E$11="", INDIRECT("'Data Murid'!$E" &amp; ROW($E43))=""), "", IF(ISNUMBER(SEARCH(TEXT(E$11,"mm/dd/yyyy"), INDIRECT("'Data Murid'!$E" &amp; ROW($E43)))), "✔", ""))</f>
        <v>#REF!</v>
      </c>
      <c r="F50" s="44" t="e" cm="1">
        <f t="array" aca="1" ref="F50" ca="1">IF(OR(F$11="", INDIRECT("'Data Murid'!$E" &amp; ROW($E43))=""), "", IF(ISNUMBER(SEARCH(TEXT(F$11,"mm/dd/yyyy"), INDIRECT("'Data Murid'!$E" &amp; ROW($E43)))), "✔", ""))</f>
        <v>#REF!</v>
      </c>
      <c r="G50" s="44" t="e" cm="1">
        <f t="array" aca="1" ref="G50" ca="1">IF(OR(G$11="", INDIRECT("'Data Murid'!$E" &amp; ROW($E43))=""), "", IF(ISNUMBER(SEARCH(TEXT(G$11,"mm/dd/yyyy"), INDIRECT("'Data Murid'!$E" &amp; ROW($E43)))), "✔", ""))</f>
        <v>#REF!</v>
      </c>
      <c r="H50" s="44" t="e" cm="1">
        <f t="array" aca="1" ref="H50" ca="1">IF(OR(H$11="", INDIRECT("'Data Murid'!$E" &amp; ROW($E43))=""), "", IF(ISNUMBER(SEARCH(TEXT(H$11,"mm/dd/yyyy"), INDIRECT("'Data Murid'!$E" &amp; ROW($E43)))), "✔", ""))</f>
        <v>#REF!</v>
      </c>
      <c r="I50" s="44" t="e" cm="1">
        <f t="array" aca="1" ref="I50" ca="1">IF(OR(I$11="", INDIRECT("'Data Murid'!$E" &amp; ROW($E43))=""), "", IF(ISNUMBER(SEARCH(TEXT(I$11,"mm/dd/yyyy"), INDIRECT("'Data Murid'!$E" &amp; ROW($E43)))), "✔", ""))</f>
        <v>#REF!</v>
      </c>
      <c r="J50" s="44" t="e" cm="1">
        <f t="array" aca="1" ref="J50" ca="1">IF(OR(J$11="", INDIRECT("'Data Murid'!$E" &amp; ROW($E43))=""), "", IF(ISNUMBER(SEARCH(TEXT(J$11,"mm/dd/yyyy"), INDIRECT("'Data Murid'!$E" &amp; ROW($E43)))), "✔", ""))</f>
        <v>#REF!</v>
      </c>
      <c r="K50" s="44" t="e" cm="1">
        <f t="array" aca="1" ref="K50" ca="1">IF(OR(K$11="", INDIRECT("'Data Murid'!$E" &amp; ROW($E43))=""), "", IF(ISNUMBER(SEARCH(TEXT(K$11,"mm/dd/yyyy"), INDIRECT("'Data Murid'!$E" &amp; ROW($E43)))), "✔", ""))</f>
        <v>#REF!</v>
      </c>
      <c r="L50" s="44" t="e" cm="1">
        <f t="array" aca="1" ref="L50" ca="1">IF(OR(L$11="", INDIRECT("'Data Murid'!$E" &amp; ROW($E43))=""), "", IF(ISNUMBER(SEARCH(TEXT(L$11,"mm/dd/yyyy"), INDIRECT("'Data Murid'!$E" &amp; ROW($E43)))), "✔", ""))</f>
        <v>#REF!</v>
      </c>
      <c r="M50" s="44" t="e" cm="1">
        <f t="array" aca="1" ref="M50" ca="1">IF(OR(M$11="", INDIRECT("'Data Murid'!$E" &amp; ROW($E43))=""), "", IF(ISNUMBER(SEARCH(TEXT(M$11,"mm/dd/yyyy"), INDIRECT("'Data Murid'!$E" &amp; ROW($E43)))), "✔", ""))</f>
        <v>#REF!</v>
      </c>
      <c r="N50" s="44" t="e" cm="1">
        <f t="array" aca="1" ref="N50" ca="1">IF(OR(N$11="", INDIRECT("'Data Murid'!$E" &amp; ROW($E43))=""), "", IF(ISNUMBER(SEARCH(TEXT(N$11,"mm/dd/yyyy"), INDIRECT("'Data Murid'!$E" &amp; ROW($E43)))), "✔", ""))</f>
        <v>#REF!</v>
      </c>
      <c r="O50" s="44" t="e" cm="1">
        <f t="array" aca="1" ref="O50" ca="1">IF(OR(O$11="", INDIRECT("'Data Murid'!$E" &amp; ROW($E43))=""), "", IF(ISNUMBER(SEARCH(TEXT(O$11,"mm/dd/yyyy"), INDIRECT("'Data Murid'!$E" &amp; ROW($E43)))), "✔", ""))</f>
        <v>#REF!</v>
      </c>
      <c r="P50" s="44" t="e" cm="1">
        <f t="array" aca="1" ref="P50" ca="1">IF(OR(P$11="", INDIRECT("'Data Murid'!$E" &amp; ROW($E43))=""), "", IF(ISNUMBER(SEARCH(TEXT(P$11,"mm/dd/yyyy"), INDIRECT("'Data Murid'!$E" &amp; ROW($E43)))), "✔", ""))</f>
        <v>#REF!</v>
      </c>
      <c r="Q50" s="44" t="e" cm="1">
        <f t="array" aca="1" ref="Q50" ca="1">IF(OR(Q$11="", INDIRECT("'Data Murid'!$E" &amp; ROW($E43))=""), "", IF(ISNUMBER(SEARCH(TEXT(Q$11,"mm/dd/yyyy"), INDIRECT("'Data Murid'!$E" &amp; ROW($E43)))), "✔", ""))</f>
        <v>#REF!</v>
      </c>
      <c r="R50" s="44" t="e" cm="1">
        <f t="array" aca="1" ref="R50" ca="1">IF(OR(R$11="", INDIRECT("'Data Murid'!$E" &amp; ROW($E43))=""), "", IF(ISNUMBER(SEARCH(TEXT(R$11,"mm/dd/yyyy"), INDIRECT("'Data Murid'!$E" &amp; ROW($E43)))), "✔", ""))</f>
        <v>#REF!</v>
      </c>
      <c r="S50" s="44" t="e" cm="1">
        <f t="array" aca="1" ref="S50" ca="1">IF(OR(S$11="", INDIRECT("'Data Murid'!$E" &amp; ROW($E43))=""), "", IF(ISNUMBER(SEARCH(TEXT(S$11,"mm/dd/yyyy"), INDIRECT("'Data Murid'!$E" &amp; ROW($E43)))), "✔", ""))</f>
        <v>#REF!</v>
      </c>
      <c r="T50" s="44" t="e" cm="1">
        <f t="array" aca="1" ref="T50" ca="1">IF(OR(T$11="", INDIRECT("'Data Murid'!$E" &amp; ROW($E43))=""), "", IF(ISNUMBER(SEARCH(TEXT(T$11,"mm/dd/yyyy"), INDIRECT("'Data Murid'!$E" &amp; ROW($E43)))), "✔", ""))</f>
        <v>#REF!</v>
      </c>
      <c r="U50" s="44" t="e" cm="1">
        <f t="array" aca="1" ref="U50" ca="1">IF(OR(U$11="", INDIRECT("'Data Murid'!$E" &amp; ROW($E43))=""), "", IF(ISNUMBER(SEARCH(TEXT(U$11,"mm/dd/yyyy"), INDIRECT("'Data Murid'!$E" &amp; ROW($E43)))), "✔", ""))</f>
        <v>#REF!</v>
      </c>
      <c r="V50" s="44" t="e" cm="1">
        <f t="array" aca="1" ref="V50" ca="1">IF(OR(V$11="", INDIRECT("'Data Murid'!$E" &amp; ROW($E43))=""), "", IF(ISNUMBER(SEARCH(TEXT(V$11,"mm/dd/yyyy"), INDIRECT("'Data Murid'!$E" &amp; ROW($E43)))), "✔", ""))</f>
        <v>#REF!</v>
      </c>
      <c r="W50" s="44" t="e" cm="1">
        <f t="array" aca="1" ref="W50" ca="1">IF(OR(W$11="", INDIRECT("'Data Murid'!$E" &amp; ROW($E43))=""), "", IF(ISNUMBER(SEARCH(TEXT(W$11,"mm/dd/yyyy"), INDIRECT("'Data Murid'!$E" &amp; ROW($E43)))), "✔", ""))</f>
        <v>#REF!</v>
      </c>
      <c r="X50" s="44" t="e" cm="1">
        <f t="array" aca="1" ref="X50" ca="1">IF(OR(X$11="", INDIRECT("'Data Murid'!$E" &amp; ROW($E43))=""), "", IF(ISNUMBER(SEARCH(TEXT(X$11,"mm/dd/yyyy"), INDIRECT("'Data Murid'!$E" &amp; ROW($E43)))), "✔", ""))</f>
        <v>#REF!</v>
      </c>
      <c r="Y50" s="44" t="e" cm="1">
        <f t="array" aca="1" ref="Y50" ca="1">IF(OR(Y$11="", INDIRECT("'Data Murid'!$E" &amp; ROW($E43))=""), "", IF(ISNUMBER(SEARCH(TEXT(Y$11,"mm/dd/yyyy"), INDIRECT("'Data Murid'!$E" &amp; ROW($E43)))), "✔", ""))</f>
        <v>#REF!</v>
      </c>
      <c r="Z50" s="44" t="e" cm="1">
        <f t="array" aca="1" ref="Z50" ca="1">IF(OR(Z$11="", INDIRECT("'Data Murid'!$E" &amp; ROW($E43))=""), "", IF(ISNUMBER(SEARCH(TEXT(Z$11,"mm/dd/yyyy"), INDIRECT("'Data Murid'!$E" &amp; ROW($E43)))), "✔", ""))</f>
        <v>#REF!</v>
      </c>
      <c r="AA50" s="44" t="e" cm="1">
        <f t="array" aca="1" ref="AA50" ca="1">IF(OR(AA$11="", INDIRECT("'Data Murid'!$E" &amp; ROW($E43))=""), "", IF(ISNUMBER(SEARCH(TEXT(AA$11,"mm/dd/yyyy"), INDIRECT("'Data Murid'!$E" &amp; ROW($E43)))), "✔", ""))</f>
        <v>#REF!</v>
      </c>
      <c r="AB50" s="44" t="e" cm="1">
        <f t="array" aca="1" ref="AB50" ca="1">IF(OR(AB$11="", INDIRECT("'Data Murid'!$E" &amp; ROW($E43))=""), "", IF(ISNUMBER(SEARCH(TEXT(AB$11,"mm/dd/yyyy"), INDIRECT("'Data Murid'!$E" &amp; ROW($E43)))), "✔", ""))</f>
        <v>#REF!</v>
      </c>
      <c r="AC50" s="44" t="e" cm="1">
        <f t="array" aca="1" ref="AC50" ca="1">IF(OR(AC$11="", INDIRECT("'Data Murid'!$E" &amp; ROW($E43))=""), "", IF(ISNUMBER(SEARCH(TEXT(AC$11,"mm/dd/yyyy"), INDIRECT("'Data Murid'!$E" &amp; ROW($E43)))), "✔", ""))</f>
        <v>#REF!</v>
      </c>
      <c r="AD50" s="44" t="e" cm="1">
        <f t="array" aca="1" ref="AD50" ca="1">IF(OR(AD$11="", INDIRECT("'Data Murid'!$E" &amp; ROW($E43))=""), "", IF(ISNUMBER(SEARCH(TEXT(AD$11,"mm/dd/yyyy"), INDIRECT("'Data Murid'!$E" &amp; ROW($E43)))), "✔", ""))</f>
        <v>#REF!</v>
      </c>
      <c r="AE50" s="44" t="e" cm="1">
        <f t="array" aca="1" ref="AE50" ca="1">IF(OR(AE$11="", INDIRECT("'Data Murid'!$E" &amp; ROW($E43))=""), "", IF(ISNUMBER(SEARCH(TEXT(AE$11,"mm/dd/yyyy"), INDIRECT("'Data Murid'!$E" &amp; ROW($E43)))), "✔", ""))</f>
        <v>#REF!</v>
      </c>
      <c r="AF50" s="44" t="e" cm="1">
        <f t="array" aca="1" ref="AF50" ca="1">IF(OR(AF$11="", INDIRECT("'Data Murid'!$E" &amp; ROW($E43))=""), "", IF(ISNUMBER(SEARCH(TEXT(AF$11,"mm/dd/yyyy"), INDIRECT("'Data Murid'!$E" &amp; ROW($E43)))), "✔", ""))</f>
        <v>#REF!</v>
      </c>
      <c r="AG50" s="44" t="e" cm="1">
        <f t="array" aca="1" ref="AG50" ca="1">IF(OR(AG$11="", INDIRECT("'Data Murid'!$E" &amp; ROW($E43))=""), "", IF(ISNUMBER(SEARCH(TEXT(AG$11,"mm/dd/yyyy"), INDIRECT("'Data Murid'!$E" &amp; ROW($E43)))), "✔", ""))</f>
        <v>#REF!</v>
      </c>
      <c r="AH50" s="44" t="e" cm="1">
        <f t="array" aca="1" ref="AH50" ca="1">IF(OR(AH$11="", INDIRECT("'Data Murid'!$E" &amp; ROW($E43))=""), "", IF(ISNUMBER(SEARCH(TEXT(AH$11,"mm/dd/yyyy"), INDIRECT("'Data Murid'!$E" &amp; ROW($E43)))), "✔", ""))</f>
        <v>#REF!</v>
      </c>
      <c r="AI50" s="44" t="e" cm="1">
        <f t="array" aca="1" ref="AI50" ca="1">IF(OR(AI$11="", INDIRECT("'Data Murid'!$E" &amp; ROW($E43))=""), "", IF(ISNUMBER(SEARCH(TEXT(AI$11,"mm/dd/yyyy"), INDIRECT("'Data Murid'!$E" &amp; ROW($E43)))), "✔", ""))</f>
        <v>#REF!</v>
      </c>
      <c r="AJ50" s="40">
        <f t="shared" ca="1" si="2"/>
        <v>0</v>
      </c>
    </row>
    <row r="51" spans="1:36" ht="14.25" customHeight="1" x14ac:dyDescent="0.25">
      <c r="A51" s="27">
        <v>37</v>
      </c>
      <c r="B51" s="25" t="e">
        <f ca="1">'rekap absensi seluruhnya'!B56</f>
        <v>#REF!</v>
      </c>
      <c r="C51" s="52" t="e">
        <f ca="1">'rekap absensi seluruhnya'!C56</f>
        <v>#REF!</v>
      </c>
      <c r="D51" s="25" t="e">
        <f ca="1">'rekap absensi seluruhnya'!D56</f>
        <v>#REF!</v>
      </c>
      <c r="E51" s="44" t="e" cm="1">
        <f t="array" aca="1" ref="E51" ca="1">IF(OR(E$11="", INDIRECT("'Data Murid'!$E" &amp; ROW($E44))=""), "", IF(ISNUMBER(SEARCH(TEXT(E$11,"mm/dd/yyyy"), INDIRECT("'Data Murid'!$E" &amp; ROW($E44)))), "✔", ""))</f>
        <v>#REF!</v>
      </c>
      <c r="F51" s="44" t="e" cm="1">
        <f t="array" aca="1" ref="F51" ca="1">IF(OR(F$11="", INDIRECT("'Data Murid'!$E" &amp; ROW($E44))=""), "", IF(ISNUMBER(SEARCH(TEXT(F$11,"mm/dd/yyyy"), INDIRECT("'Data Murid'!$E" &amp; ROW($E44)))), "✔", ""))</f>
        <v>#REF!</v>
      </c>
      <c r="G51" s="44" t="e" cm="1">
        <f t="array" aca="1" ref="G51" ca="1">IF(OR(G$11="", INDIRECT("'Data Murid'!$E" &amp; ROW($E44))=""), "", IF(ISNUMBER(SEARCH(TEXT(G$11,"mm/dd/yyyy"), INDIRECT("'Data Murid'!$E" &amp; ROW($E44)))), "✔", ""))</f>
        <v>#REF!</v>
      </c>
      <c r="H51" s="44" t="e" cm="1">
        <f t="array" aca="1" ref="H51" ca="1">IF(OR(H$11="", INDIRECT("'Data Murid'!$E" &amp; ROW($E44))=""), "", IF(ISNUMBER(SEARCH(TEXT(H$11,"mm/dd/yyyy"), INDIRECT("'Data Murid'!$E" &amp; ROW($E44)))), "✔", ""))</f>
        <v>#REF!</v>
      </c>
      <c r="I51" s="44" t="e" cm="1">
        <f t="array" aca="1" ref="I51" ca="1">IF(OR(I$11="", INDIRECT("'Data Murid'!$E" &amp; ROW($E44))=""), "", IF(ISNUMBER(SEARCH(TEXT(I$11,"mm/dd/yyyy"), INDIRECT("'Data Murid'!$E" &amp; ROW($E44)))), "✔", ""))</f>
        <v>#REF!</v>
      </c>
      <c r="J51" s="44" t="e" cm="1">
        <f t="array" aca="1" ref="J51" ca="1">IF(OR(J$11="", INDIRECT("'Data Murid'!$E" &amp; ROW($E44))=""), "", IF(ISNUMBER(SEARCH(TEXT(J$11,"mm/dd/yyyy"), INDIRECT("'Data Murid'!$E" &amp; ROW($E44)))), "✔", ""))</f>
        <v>#REF!</v>
      </c>
      <c r="K51" s="44" t="e" cm="1">
        <f t="array" aca="1" ref="K51" ca="1">IF(OR(K$11="", INDIRECT("'Data Murid'!$E" &amp; ROW($E44))=""), "", IF(ISNUMBER(SEARCH(TEXT(K$11,"mm/dd/yyyy"), INDIRECT("'Data Murid'!$E" &amp; ROW($E44)))), "✔", ""))</f>
        <v>#REF!</v>
      </c>
      <c r="L51" s="44" t="e" cm="1">
        <f t="array" aca="1" ref="L51" ca="1">IF(OR(L$11="", INDIRECT("'Data Murid'!$E" &amp; ROW($E44))=""), "", IF(ISNUMBER(SEARCH(TEXT(L$11,"mm/dd/yyyy"), INDIRECT("'Data Murid'!$E" &amp; ROW($E44)))), "✔", ""))</f>
        <v>#REF!</v>
      </c>
      <c r="M51" s="44" t="e" cm="1">
        <f t="array" aca="1" ref="M51" ca="1">IF(OR(M$11="", INDIRECT("'Data Murid'!$E" &amp; ROW($E44))=""), "", IF(ISNUMBER(SEARCH(TEXT(M$11,"mm/dd/yyyy"), INDIRECT("'Data Murid'!$E" &amp; ROW($E44)))), "✔", ""))</f>
        <v>#REF!</v>
      </c>
      <c r="N51" s="44" t="e" cm="1">
        <f t="array" aca="1" ref="N51" ca="1">IF(OR(N$11="", INDIRECT("'Data Murid'!$E" &amp; ROW($E44))=""), "", IF(ISNUMBER(SEARCH(TEXT(N$11,"mm/dd/yyyy"), INDIRECT("'Data Murid'!$E" &amp; ROW($E44)))), "✔", ""))</f>
        <v>#REF!</v>
      </c>
      <c r="O51" s="44" t="e" cm="1">
        <f t="array" aca="1" ref="O51" ca="1">IF(OR(O$11="", INDIRECT("'Data Murid'!$E" &amp; ROW($E44))=""), "", IF(ISNUMBER(SEARCH(TEXT(O$11,"mm/dd/yyyy"), INDIRECT("'Data Murid'!$E" &amp; ROW($E44)))), "✔", ""))</f>
        <v>#REF!</v>
      </c>
      <c r="P51" s="44" t="e" cm="1">
        <f t="array" aca="1" ref="P51" ca="1">IF(OR(P$11="", INDIRECT("'Data Murid'!$E" &amp; ROW($E44))=""), "", IF(ISNUMBER(SEARCH(TEXT(P$11,"mm/dd/yyyy"), INDIRECT("'Data Murid'!$E" &amp; ROW($E44)))), "✔", ""))</f>
        <v>#REF!</v>
      </c>
      <c r="Q51" s="44" t="e" cm="1">
        <f t="array" aca="1" ref="Q51" ca="1">IF(OR(Q$11="", INDIRECT("'Data Murid'!$E" &amp; ROW($E44))=""), "", IF(ISNUMBER(SEARCH(TEXT(Q$11,"mm/dd/yyyy"), INDIRECT("'Data Murid'!$E" &amp; ROW($E44)))), "✔", ""))</f>
        <v>#REF!</v>
      </c>
      <c r="R51" s="44" t="e" cm="1">
        <f t="array" aca="1" ref="R51" ca="1">IF(OR(R$11="", INDIRECT("'Data Murid'!$E" &amp; ROW($E44))=""), "", IF(ISNUMBER(SEARCH(TEXT(R$11,"mm/dd/yyyy"), INDIRECT("'Data Murid'!$E" &amp; ROW($E44)))), "✔", ""))</f>
        <v>#REF!</v>
      </c>
      <c r="S51" s="44" t="e" cm="1">
        <f t="array" aca="1" ref="S51" ca="1">IF(OR(S$11="", INDIRECT("'Data Murid'!$E" &amp; ROW($E44))=""), "", IF(ISNUMBER(SEARCH(TEXT(S$11,"mm/dd/yyyy"), INDIRECT("'Data Murid'!$E" &amp; ROW($E44)))), "✔", ""))</f>
        <v>#REF!</v>
      </c>
      <c r="T51" s="44" t="e" cm="1">
        <f t="array" aca="1" ref="T51" ca="1">IF(OR(T$11="", INDIRECT("'Data Murid'!$E" &amp; ROW($E44))=""), "", IF(ISNUMBER(SEARCH(TEXT(T$11,"mm/dd/yyyy"), INDIRECT("'Data Murid'!$E" &amp; ROW($E44)))), "✔", ""))</f>
        <v>#REF!</v>
      </c>
      <c r="U51" s="44" t="e" cm="1">
        <f t="array" aca="1" ref="U51" ca="1">IF(OR(U$11="", INDIRECT("'Data Murid'!$E" &amp; ROW($E44))=""), "", IF(ISNUMBER(SEARCH(TEXT(U$11,"mm/dd/yyyy"), INDIRECT("'Data Murid'!$E" &amp; ROW($E44)))), "✔", ""))</f>
        <v>#REF!</v>
      </c>
      <c r="V51" s="44" t="e" cm="1">
        <f t="array" aca="1" ref="V51" ca="1">IF(OR(V$11="", INDIRECT("'Data Murid'!$E" &amp; ROW($E44))=""), "", IF(ISNUMBER(SEARCH(TEXT(V$11,"mm/dd/yyyy"), INDIRECT("'Data Murid'!$E" &amp; ROW($E44)))), "✔", ""))</f>
        <v>#REF!</v>
      </c>
      <c r="W51" s="44" t="e" cm="1">
        <f t="array" aca="1" ref="W51" ca="1">IF(OR(W$11="", INDIRECT("'Data Murid'!$E" &amp; ROW($E44))=""), "", IF(ISNUMBER(SEARCH(TEXT(W$11,"mm/dd/yyyy"), INDIRECT("'Data Murid'!$E" &amp; ROW($E44)))), "✔", ""))</f>
        <v>#REF!</v>
      </c>
      <c r="X51" s="44" t="e" cm="1">
        <f t="array" aca="1" ref="X51" ca="1">IF(OR(X$11="", INDIRECT("'Data Murid'!$E" &amp; ROW($E44))=""), "", IF(ISNUMBER(SEARCH(TEXT(X$11,"mm/dd/yyyy"), INDIRECT("'Data Murid'!$E" &amp; ROW($E44)))), "✔", ""))</f>
        <v>#REF!</v>
      </c>
      <c r="Y51" s="44" t="e" cm="1">
        <f t="array" aca="1" ref="Y51" ca="1">IF(OR(Y$11="", INDIRECT("'Data Murid'!$E" &amp; ROW($E44))=""), "", IF(ISNUMBER(SEARCH(TEXT(Y$11,"mm/dd/yyyy"), INDIRECT("'Data Murid'!$E" &amp; ROW($E44)))), "✔", ""))</f>
        <v>#REF!</v>
      </c>
      <c r="Z51" s="44" t="e" cm="1">
        <f t="array" aca="1" ref="Z51" ca="1">IF(OR(Z$11="", INDIRECT("'Data Murid'!$E" &amp; ROW($E44))=""), "", IF(ISNUMBER(SEARCH(TEXT(Z$11,"mm/dd/yyyy"), INDIRECT("'Data Murid'!$E" &amp; ROW($E44)))), "✔", ""))</f>
        <v>#REF!</v>
      </c>
      <c r="AA51" s="44" t="e" cm="1">
        <f t="array" aca="1" ref="AA51" ca="1">IF(OR(AA$11="", INDIRECT("'Data Murid'!$E" &amp; ROW($E44))=""), "", IF(ISNUMBER(SEARCH(TEXT(AA$11,"mm/dd/yyyy"), INDIRECT("'Data Murid'!$E" &amp; ROW($E44)))), "✔", ""))</f>
        <v>#REF!</v>
      </c>
      <c r="AB51" s="44" t="e" cm="1">
        <f t="array" aca="1" ref="AB51" ca="1">IF(OR(AB$11="", INDIRECT("'Data Murid'!$E" &amp; ROW($E44))=""), "", IF(ISNUMBER(SEARCH(TEXT(AB$11,"mm/dd/yyyy"), INDIRECT("'Data Murid'!$E" &amp; ROW($E44)))), "✔", ""))</f>
        <v>#REF!</v>
      </c>
      <c r="AC51" s="44" t="e" cm="1">
        <f t="array" aca="1" ref="AC51" ca="1">IF(OR(AC$11="", INDIRECT("'Data Murid'!$E" &amp; ROW($E44))=""), "", IF(ISNUMBER(SEARCH(TEXT(AC$11,"mm/dd/yyyy"), INDIRECT("'Data Murid'!$E" &amp; ROW($E44)))), "✔", ""))</f>
        <v>#REF!</v>
      </c>
      <c r="AD51" s="44" t="e" cm="1">
        <f t="array" aca="1" ref="AD51" ca="1">IF(OR(AD$11="", INDIRECT("'Data Murid'!$E" &amp; ROW($E44))=""), "", IF(ISNUMBER(SEARCH(TEXT(AD$11,"mm/dd/yyyy"), INDIRECT("'Data Murid'!$E" &amp; ROW($E44)))), "✔", ""))</f>
        <v>#REF!</v>
      </c>
      <c r="AE51" s="44" t="e" cm="1">
        <f t="array" aca="1" ref="AE51" ca="1">IF(OR(AE$11="", INDIRECT("'Data Murid'!$E" &amp; ROW($E44))=""), "", IF(ISNUMBER(SEARCH(TEXT(AE$11,"mm/dd/yyyy"), INDIRECT("'Data Murid'!$E" &amp; ROW($E44)))), "✔", ""))</f>
        <v>#REF!</v>
      </c>
      <c r="AF51" s="44" t="e" cm="1">
        <f t="array" aca="1" ref="AF51" ca="1">IF(OR(AF$11="", INDIRECT("'Data Murid'!$E" &amp; ROW($E44))=""), "", IF(ISNUMBER(SEARCH(TEXT(AF$11,"mm/dd/yyyy"), INDIRECT("'Data Murid'!$E" &amp; ROW($E44)))), "✔", ""))</f>
        <v>#REF!</v>
      </c>
      <c r="AG51" s="44" t="e" cm="1">
        <f t="array" aca="1" ref="AG51" ca="1">IF(OR(AG$11="", INDIRECT("'Data Murid'!$E" &amp; ROW($E44))=""), "", IF(ISNUMBER(SEARCH(TEXT(AG$11,"mm/dd/yyyy"), INDIRECT("'Data Murid'!$E" &amp; ROW($E44)))), "✔", ""))</f>
        <v>#REF!</v>
      </c>
      <c r="AH51" s="44" t="e" cm="1">
        <f t="array" aca="1" ref="AH51" ca="1">IF(OR(AH$11="", INDIRECT("'Data Murid'!$E" &amp; ROW($E44))=""), "", IF(ISNUMBER(SEARCH(TEXT(AH$11,"mm/dd/yyyy"), INDIRECT("'Data Murid'!$E" &amp; ROW($E44)))), "✔", ""))</f>
        <v>#REF!</v>
      </c>
      <c r="AI51" s="44" t="e" cm="1">
        <f t="array" aca="1" ref="AI51" ca="1">IF(OR(AI$11="", INDIRECT("'Data Murid'!$E" &amp; ROW($E44))=""), "", IF(ISNUMBER(SEARCH(TEXT(AI$11,"mm/dd/yyyy"), INDIRECT("'Data Murid'!$E" &amp; ROW($E44)))), "✔", ""))</f>
        <v>#REF!</v>
      </c>
      <c r="AJ51" s="40">
        <f t="shared" ca="1" si="2"/>
        <v>0</v>
      </c>
    </row>
    <row r="52" spans="1:36" ht="14.25" customHeight="1" x14ac:dyDescent="0.25">
      <c r="A52" s="27">
        <v>38</v>
      </c>
      <c r="B52" s="27" t="e">
        <f ca="1">'rekap absensi seluruhnya'!B57</f>
        <v>#REF!</v>
      </c>
      <c r="C52" s="55" t="e">
        <f ca="1">'rekap absensi seluruhnya'!C57</f>
        <v>#REF!</v>
      </c>
      <c r="D52" s="27" t="e">
        <f ca="1">'rekap absensi seluruhnya'!D57</f>
        <v>#REF!</v>
      </c>
      <c r="E52" s="44" t="e" cm="1">
        <f t="array" aca="1" ref="E52" ca="1">IF(OR(E$11="", INDIRECT("'Data Murid'!$E" &amp; ROW($E45))=""), "", IF(ISNUMBER(SEARCH(TEXT(E$11,"mm/dd/yyyy"), INDIRECT("'Data Murid'!$E" &amp; ROW($E45)))), "✔", ""))</f>
        <v>#REF!</v>
      </c>
      <c r="F52" s="44" t="e" cm="1">
        <f t="array" aca="1" ref="F52" ca="1">IF(OR(F$11="", INDIRECT("'Data Murid'!$E" &amp; ROW($E45))=""), "", IF(ISNUMBER(SEARCH(TEXT(F$11,"mm/dd/yyyy"), INDIRECT("'Data Murid'!$E" &amp; ROW($E45)))), "✔", ""))</f>
        <v>#REF!</v>
      </c>
      <c r="G52" s="44" t="e" cm="1">
        <f t="array" aca="1" ref="G52" ca="1">IF(OR(G$11="", INDIRECT("'Data Murid'!$E" &amp; ROW($E45))=""), "", IF(ISNUMBER(SEARCH(TEXT(G$11,"mm/dd/yyyy"), INDIRECT("'Data Murid'!$E" &amp; ROW($E45)))), "✔", ""))</f>
        <v>#REF!</v>
      </c>
      <c r="H52" s="44" t="e" cm="1">
        <f t="array" aca="1" ref="H52" ca="1">IF(OR(H$11="", INDIRECT("'Data Murid'!$E" &amp; ROW($E45))=""), "", IF(ISNUMBER(SEARCH(TEXT(H$11,"mm/dd/yyyy"), INDIRECT("'Data Murid'!$E" &amp; ROW($E45)))), "✔", ""))</f>
        <v>#REF!</v>
      </c>
      <c r="I52" s="44" t="e" cm="1">
        <f t="array" aca="1" ref="I52" ca="1">IF(OR(I$11="", INDIRECT("'Data Murid'!$E" &amp; ROW($E45))=""), "", IF(ISNUMBER(SEARCH(TEXT(I$11,"mm/dd/yyyy"), INDIRECT("'Data Murid'!$E" &amp; ROW($E45)))), "✔", ""))</f>
        <v>#REF!</v>
      </c>
      <c r="J52" s="44" t="e" cm="1">
        <f t="array" aca="1" ref="J52" ca="1">IF(OR(J$11="", INDIRECT("'Data Murid'!$E" &amp; ROW($E45))=""), "", IF(ISNUMBER(SEARCH(TEXT(J$11,"mm/dd/yyyy"), INDIRECT("'Data Murid'!$E" &amp; ROW($E45)))), "✔", ""))</f>
        <v>#REF!</v>
      </c>
      <c r="K52" s="44" t="e" cm="1">
        <f t="array" aca="1" ref="K52" ca="1">IF(OR(K$11="", INDIRECT("'Data Murid'!$E" &amp; ROW($E45))=""), "", IF(ISNUMBER(SEARCH(TEXT(K$11,"mm/dd/yyyy"), INDIRECT("'Data Murid'!$E" &amp; ROW($E45)))), "✔", ""))</f>
        <v>#REF!</v>
      </c>
      <c r="L52" s="44" t="e" cm="1">
        <f t="array" aca="1" ref="L52" ca="1">IF(OR(L$11="", INDIRECT("'Data Murid'!$E" &amp; ROW($E45))=""), "", IF(ISNUMBER(SEARCH(TEXT(L$11,"mm/dd/yyyy"), INDIRECT("'Data Murid'!$E" &amp; ROW($E45)))), "✔", ""))</f>
        <v>#REF!</v>
      </c>
      <c r="M52" s="44" t="e" cm="1">
        <f t="array" aca="1" ref="M52" ca="1">IF(OR(M$11="", INDIRECT("'Data Murid'!$E" &amp; ROW($E45))=""), "", IF(ISNUMBER(SEARCH(TEXT(M$11,"mm/dd/yyyy"), INDIRECT("'Data Murid'!$E" &amp; ROW($E45)))), "✔", ""))</f>
        <v>#REF!</v>
      </c>
      <c r="N52" s="44" t="e" cm="1">
        <f t="array" aca="1" ref="N52" ca="1">IF(OR(N$11="", INDIRECT("'Data Murid'!$E" &amp; ROW($E45))=""), "", IF(ISNUMBER(SEARCH(TEXT(N$11,"mm/dd/yyyy"), INDIRECT("'Data Murid'!$E" &amp; ROW($E45)))), "✔", ""))</f>
        <v>#REF!</v>
      </c>
      <c r="O52" s="44" t="e" cm="1">
        <f t="array" aca="1" ref="O52" ca="1">IF(OR(O$11="", INDIRECT("'Data Murid'!$E" &amp; ROW($E45))=""), "", IF(ISNUMBER(SEARCH(TEXT(O$11,"mm/dd/yyyy"), INDIRECT("'Data Murid'!$E" &amp; ROW($E45)))), "✔", ""))</f>
        <v>#REF!</v>
      </c>
      <c r="P52" s="44" t="e" cm="1">
        <f t="array" aca="1" ref="P52" ca="1">IF(OR(P$11="", INDIRECT("'Data Murid'!$E" &amp; ROW($E45))=""), "", IF(ISNUMBER(SEARCH(TEXT(P$11,"mm/dd/yyyy"), INDIRECT("'Data Murid'!$E" &amp; ROW($E45)))), "✔", ""))</f>
        <v>#REF!</v>
      </c>
      <c r="Q52" s="44" t="e" cm="1">
        <f t="array" aca="1" ref="Q52" ca="1">IF(OR(Q$11="", INDIRECT("'Data Murid'!$E" &amp; ROW($E45))=""), "", IF(ISNUMBER(SEARCH(TEXT(Q$11,"mm/dd/yyyy"), INDIRECT("'Data Murid'!$E" &amp; ROW($E45)))), "✔", ""))</f>
        <v>#REF!</v>
      </c>
      <c r="R52" s="44" t="e" cm="1">
        <f t="array" aca="1" ref="R52" ca="1">IF(OR(R$11="", INDIRECT("'Data Murid'!$E" &amp; ROW($E45))=""), "", IF(ISNUMBER(SEARCH(TEXT(R$11,"mm/dd/yyyy"), INDIRECT("'Data Murid'!$E" &amp; ROW($E45)))), "✔", ""))</f>
        <v>#REF!</v>
      </c>
      <c r="S52" s="44" t="e" cm="1">
        <f t="array" aca="1" ref="S52" ca="1">IF(OR(S$11="", INDIRECT("'Data Murid'!$E" &amp; ROW($E45))=""), "", IF(ISNUMBER(SEARCH(TEXT(S$11,"mm/dd/yyyy"), INDIRECT("'Data Murid'!$E" &amp; ROW($E45)))), "✔", ""))</f>
        <v>#REF!</v>
      </c>
      <c r="T52" s="44" t="e" cm="1">
        <f t="array" aca="1" ref="T52" ca="1">IF(OR(T$11="", INDIRECT("'Data Murid'!$E" &amp; ROW($E45))=""), "", IF(ISNUMBER(SEARCH(TEXT(T$11,"mm/dd/yyyy"), INDIRECT("'Data Murid'!$E" &amp; ROW($E45)))), "✔", ""))</f>
        <v>#REF!</v>
      </c>
      <c r="U52" s="44" t="e" cm="1">
        <f t="array" aca="1" ref="U52" ca="1">IF(OR(U$11="", INDIRECT("'Data Murid'!$E" &amp; ROW($E45))=""), "", IF(ISNUMBER(SEARCH(TEXT(U$11,"mm/dd/yyyy"), INDIRECT("'Data Murid'!$E" &amp; ROW($E45)))), "✔", ""))</f>
        <v>#REF!</v>
      </c>
      <c r="V52" s="44" t="e" cm="1">
        <f t="array" aca="1" ref="V52" ca="1">IF(OR(V$11="", INDIRECT("'Data Murid'!$E" &amp; ROW($E45))=""), "", IF(ISNUMBER(SEARCH(TEXT(V$11,"mm/dd/yyyy"), INDIRECT("'Data Murid'!$E" &amp; ROW($E45)))), "✔", ""))</f>
        <v>#REF!</v>
      </c>
      <c r="W52" s="44" t="e" cm="1">
        <f t="array" aca="1" ref="W52" ca="1">IF(OR(W$11="", INDIRECT("'Data Murid'!$E" &amp; ROW($E45))=""), "", IF(ISNUMBER(SEARCH(TEXT(W$11,"mm/dd/yyyy"), INDIRECT("'Data Murid'!$E" &amp; ROW($E45)))), "✔", ""))</f>
        <v>#REF!</v>
      </c>
      <c r="X52" s="44" t="e" cm="1">
        <f t="array" aca="1" ref="X52" ca="1">IF(OR(X$11="", INDIRECT("'Data Murid'!$E" &amp; ROW($E45))=""), "", IF(ISNUMBER(SEARCH(TEXT(X$11,"mm/dd/yyyy"), INDIRECT("'Data Murid'!$E" &amp; ROW($E45)))), "✔", ""))</f>
        <v>#REF!</v>
      </c>
      <c r="Y52" s="44" t="e" cm="1">
        <f t="array" aca="1" ref="Y52" ca="1">IF(OR(Y$11="", INDIRECT("'Data Murid'!$E" &amp; ROW($E45))=""), "", IF(ISNUMBER(SEARCH(TEXT(Y$11,"mm/dd/yyyy"), INDIRECT("'Data Murid'!$E" &amp; ROW($E45)))), "✔", ""))</f>
        <v>#REF!</v>
      </c>
      <c r="Z52" s="44" t="e" cm="1">
        <f t="array" aca="1" ref="Z52" ca="1">IF(OR(Z$11="", INDIRECT("'Data Murid'!$E" &amp; ROW($E45))=""), "", IF(ISNUMBER(SEARCH(TEXT(Z$11,"mm/dd/yyyy"), INDIRECT("'Data Murid'!$E" &amp; ROW($E45)))), "✔", ""))</f>
        <v>#REF!</v>
      </c>
      <c r="AA52" s="44" t="e" cm="1">
        <f t="array" aca="1" ref="AA52" ca="1">IF(OR(AA$11="", INDIRECT("'Data Murid'!$E" &amp; ROW($E45))=""), "", IF(ISNUMBER(SEARCH(TEXT(AA$11,"mm/dd/yyyy"), INDIRECT("'Data Murid'!$E" &amp; ROW($E45)))), "✔", ""))</f>
        <v>#REF!</v>
      </c>
      <c r="AB52" s="44" t="e" cm="1">
        <f t="array" aca="1" ref="AB52" ca="1">IF(OR(AB$11="", INDIRECT("'Data Murid'!$E" &amp; ROW($E45))=""), "", IF(ISNUMBER(SEARCH(TEXT(AB$11,"mm/dd/yyyy"), INDIRECT("'Data Murid'!$E" &amp; ROW($E45)))), "✔", ""))</f>
        <v>#REF!</v>
      </c>
      <c r="AC52" s="44" t="e" cm="1">
        <f t="array" aca="1" ref="AC52" ca="1">IF(OR(AC$11="", INDIRECT("'Data Murid'!$E" &amp; ROW($E45))=""), "", IF(ISNUMBER(SEARCH(TEXT(AC$11,"mm/dd/yyyy"), INDIRECT("'Data Murid'!$E" &amp; ROW($E45)))), "✔", ""))</f>
        <v>#REF!</v>
      </c>
      <c r="AD52" s="44" t="e" cm="1">
        <f t="array" aca="1" ref="AD52" ca="1">IF(OR(AD$11="", INDIRECT("'Data Murid'!$E" &amp; ROW($E45))=""), "", IF(ISNUMBER(SEARCH(TEXT(AD$11,"mm/dd/yyyy"), INDIRECT("'Data Murid'!$E" &amp; ROW($E45)))), "✔", ""))</f>
        <v>#REF!</v>
      </c>
      <c r="AE52" s="44" t="e" cm="1">
        <f t="array" aca="1" ref="AE52" ca="1">IF(OR(AE$11="", INDIRECT("'Data Murid'!$E" &amp; ROW($E45))=""), "", IF(ISNUMBER(SEARCH(TEXT(AE$11,"mm/dd/yyyy"), INDIRECT("'Data Murid'!$E" &amp; ROW($E45)))), "✔", ""))</f>
        <v>#REF!</v>
      </c>
      <c r="AF52" s="44" t="e" cm="1">
        <f t="array" aca="1" ref="AF52" ca="1">IF(OR(AF$11="", INDIRECT("'Data Murid'!$E" &amp; ROW($E45))=""), "", IF(ISNUMBER(SEARCH(TEXT(AF$11,"mm/dd/yyyy"), INDIRECT("'Data Murid'!$E" &amp; ROW($E45)))), "✔", ""))</f>
        <v>#REF!</v>
      </c>
      <c r="AG52" s="44" t="e" cm="1">
        <f t="array" aca="1" ref="AG52" ca="1">IF(OR(AG$11="", INDIRECT("'Data Murid'!$E" &amp; ROW($E45))=""), "", IF(ISNUMBER(SEARCH(TEXT(AG$11,"mm/dd/yyyy"), INDIRECT("'Data Murid'!$E" &amp; ROW($E45)))), "✔", ""))</f>
        <v>#REF!</v>
      </c>
      <c r="AH52" s="44" t="e" cm="1">
        <f t="array" aca="1" ref="AH52" ca="1">IF(OR(AH$11="", INDIRECT("'Data Murid'!$E" &amp; ROW($E45))=""), "", IF(ISNUMBER(SEARCH(TEXT(AH$11,"mm/dd/yyyy"), INDIRECT("'Data Murid'!$E" &amp; ROW($E45)))), "✔", ""))</f>
        <v>#REF!</v>
      </c>
      <c r="AI52" s="44" t="e" cm="1">
        <f t="array" aca="1" ref="AI52" ca="1">IF(OR(AI$11="", INDIRECT("'Data Murid'!$E" &amp; ROW($E45))=""), "", IF(ISNUMBER(SEARCH(TEXT(AI$11,"mm/dd/yyyy"), INDIRECT("'Data Murid'!$E" &amp; ROW($E45)))), "✔", ""))</f>
        <v>#REF!</v>
      </c>
      <c r="AJ52" s="40">
        <f t="shared" ca="1" si="2"/>
        <v>0</v>
      </c>
    </row>
    <row r="53" spans="1:36" ht="14.25" customHeight="1" x14ac:dyDescent="0.25">
      <c r="A53" s="27">
        <v>39</v>
      </c>
      <c r="B53" s="25" t="e">
        <f ca="1">'rekap absensi seluruhnya'!B58</f>
        <v>#REF!</v>
      </c>
      <c r="C53" s="52" t="e">
        <f ca="1">'rekap absensi seluruhnya'!C58</f>
        <v>#REF!</v>
      </c>
      <c r="D53" s="25" t="e">
        <f ca="1">'rekap absensi seluruhnya'!D58</f>
        <v>#REF!</v>
      </c>
      <c r="E53" s="44" t="e" cm="1">
        <f t="array" aca="1" ref="E53" ca="1">IF(OR(E$11="", INDIRECT("'Data Murid'!$E" &amp; ROW($E46))=""), "", IF(ISNUMBER(SEARCH(TEXT(E$11,"mm/dd/yyyy"), INDIRECT("'Data Murid'!$E" &amp; ROW($E46)))), "✔", ""))</f>
        <v>#REF!</v>
      </c>
      <c r="F53" s="44" t="e" cm="1">
        <f t="array" aca="1" ref="F53" ca="1">IF(OR(F$11="", INDIRECT("'Data Murid'!$E" &amp; ROW($E46))=""), "", IF(ISNUMBER(SEARCH(TEXT(F$11,"mm/dd/yyyy"), INDIRECT("'Data Murid'!$E" &amp; ROW($E46)))), "✔", ""))</f>
        <v>#REF!</v>
      </c>
      <c r="G53" s="44" t="e" cm="1">
        <f t="array" aca="1" ref="G53" ca="1">IF(OR(G$11="", INDIRECT("'Data Murid'!$E" &amp; ROW($E46))=""), "", IF(ISNUMBER(SEARCH(TEXT(G$11,"mm/dd/yyyy"), INDIRECT("'Data Murid'!$E" &amp; ROW($E46)))), "✔", ""))</f>
        <v>#REF!</v>
      </c>
      <c r="H53" s="44" t="e" cm="1">
        <f t="array" aca="1" ref="H53" ca="1">IF(OR(H$11="", INDIRECT("'Data Murid'!$E" &amp; ROW($E46))=""), "", IF(ISNUMBER(SEARCH(TEXT(H$11,"mm/dd/yyyy"), INDIRECT("'Data Murid'!$E" &amp; ROW($E46)))), "✔", ""))</f>
        <v>#REF!</v>
      </c>
      <c r="I53" s="44" t="e" cm="1">
        <f t="array" aca="1" ref="I53" ca="1">IF(OR(I$11="", INDIRECT("'Data Murid'!$E" &amp; ROW($E46))=""), "", IF(ISNUMBER(SEARCH(TEXT(I$11,"mm/dd/yyyy"), INDIRECT("'Data Murid'!$E" &amp; ROW($E46)))), "✔", ""))</f>
        <v>#REF!</v>
      </c>
      <c r="J53" s="44" t="e" cm="1">
        <f t="array" aca="1" ref="J53" ca="1">IF(OR(J$11="", INDIRECT("'Data Murid'!$E" &amp; ROW($E46))=""), "", IF(ISNUMBER(SEARCH(TEXT(J$11,"mm/dd/yyyy"), INDIRECT("'Data Murid'!$E" &amp; ROW($E46)))), "✔", ""))</f>
        <v>#REF!</v>
      </c>
      <c r="K53" s="44" t="e" cm="1">
        <f t="array" aca="1" ref="K53" ca="1">IF(OR(K$11="", INDIRECT("'Data Murid'!$E" &amp; ROW($E46))=""), "", IF(ISNUMBER(SEARCH(TEXT(K$11,"mm/dd/yyyy"), INDIRECT("'Data Murid'!$E" &amp; ROW($E46)))), "✔", ""))</f>
        <v>#REF!</v>
      </c>
      <c r="L53" s="44" t="e" cm="1">
        <f t="array" aca="1" ref="L53" ca="1">IF(OR(L$11="", INDIRECT("'Data Murid'!$E" &amp; ROW($E46))=""), "", IF(ISNUMBER(SEARCH(TEXT(L$11,"mm/dd/yyyy"), INDIRECT("'Data Murid'!$E" &amp; ROW($E46)))), "✔", ""))</f>
        <v>#REF!</v>
      </c>
      <c r="M53" s="44" t="e" cm="1">
        <f t="array" aca="1" ref="M53" ca="1">IF(OR(M$11="", INDIRECT("'Data Murid'!$E" &amp; ROW($E46))=""), "", IF(ISNUMBER(SEARCH(TEXT(M$11,"mm/dd/yyyy"), INDIRECT("'Data Murid'!$E" &amp; ROW($E46)))), "✔", ""))</f>
        <v>#REF!</v>
      </c>
      <c r="N53" s="44" t="e" cm="1">
        <f t="array" aca="1" ref="N53" ca="1">IF(OR(N$11="", INDIRECT("'Data Murid'!$E" &amp; ROW($E46))=""), "", IF(ISNUMBER(SEARCH(TEXT(N$11,"mm/dd/yyyy"), INDIRECT("'Data Murid'!$E" &amp; ROW($E46)))), "✔", ""))</f>
        <v>#REF!</v>
      </c>
      <c r="O53" s="44" t="e" cm="1">
        <f t="array" aca="1" ref="O53" ca="1">IF(OR(O$11="", INDIRECT("'Data Murid'!$E" &amp; ROW($E46))=""), "", IF(ISNUMBER(SEARCH(TEXT(O$11,"mm/dd/yyyy"), INDIRECT("'Data Murid'!$E" &amp; ROW($E46)))), "✔", ""))</f>
        <v>#REF!</v>
      </c>
      <c r="P53" s="44" t="e" cm="1">
        <f t="array" aca="1" ref="P53" ca="1">IF(OR(P$11="", INDIRECT("'Data Murid'!$E" &amp; ROW($E46))=""), "", IF(ISNUMBER(SEARCH(TEXT(P$11,"mm/dd/yyyy"), INDIRECT("'Data Murid'!$E" &amp; ROW($E46)))), "✔", ""))</f>
        <v>#REF!</v>
      </c>
      <c r="Q53" s="44" t="e" cm="1">
        <f t="array" aca="1" ref="Q53" ca="1">IF(OR(Q$11="", INDIRECT("'Data Murid'!$E" &amp; ROW($E46))=""), "", IF(ISNUMBER(SEARCH(TEXT(Q$11,"mm/dd/yyyy"), INDIRECT("'Data Murid'!$E" &amp; ROW($E46)))), "✔", ""))</f>
        <v>#REF!</v>
      </c>
      <c r="R53" s="44" t="e" cm="1">
        <f t="array" aca="1" ref="R53" ca="1">IF(OR(R$11="", INDIRECT("'Data Murid'!$E" &amp; ROW($E46))=""), "", IF(ISNUMBER(SEARCH(TEXT(R$11,"mm/dd/yyyy"), INDIRECT("'Data Murid'!$E" &amp; ROW($E46)))), "✔", ""))</f>
        <v>#REF!</v>
      </c>
      <c r="S53" s="44" t="e" cm="1">
        <f t="array" aca="1" ref="S53" ca="1">IF(OR(S$11="", INDIRECT("'Data Murid'!$E" &amp; ROW($E46))=""), "", IF(ISNUMBER(SEARCH(TEXT(S$11,"mm/dd/yyyy"), INDIRECT("'Data Murid'!$E" &amp; ROW($E46)))), "✔", ""))</f>
        <v>#REF!</v>
      </c>
      <c r="T53" s="44" t="e" cm="1">
        <f t="array" aca="1" ref="T53" ca="1">IF(OR(T$11="", INDIRECT("'Data Murid'!$E" &amp; ROW($E46))=""), "", IF(ISNUMBER(SEARCH(TEXT(T$11,"mm/dd/yyyy"), INDIRECT("'Data Murid'!$E" &amp; ROW($E46)))), "✔", ""))</f>
        <v>#REF!</v>
      </c>
      <c r="U53" s="44" t="e" cm="1">
        <f t="array" aca="1" ref="U53" ca="1">IF(OR(U$11="", INDIRECT("'Data Murid'!$E" &amp; ROW($E46))=""), "", IF(ISNUMBER(SEARCH(TEXT(U$11,"mm/dd/yyyy"), INDIRECT("'Data Murid'!$E" &amp; ROW($E46)))), "✔", ""))</f>
        <v>#REF!</v>
      </c>
      <c r="V53" s="44" t="e" cm="1">
        <f t="array" aca="1" ref="V53" ca="1">IF(OR(V$11="", INDIRECT("'Data Murid'!$E" &amp; ROW($E46))=""), "", IF(ISNUMBER(SEARCH(TEXT(V$11,"mm/dd/yyyy"), INDIRECT("'Data Murid'!$E" &amp; ROW($E46)))), "✔", ""))</f>
        <v>#REF!</v>
      </c>
      <c r="W53" s="44" t="e" cm="1">
        <f t="array" aca="1" ref="W53" ca="1">IF(OR(W$11="", INDIRECT("'Data Murid'!$E" &amp; ROW($E46))=""), "", IF(ISNUMBER(SEARCH(TEXT(W$11,"mm/dd/yyyy"), INDIRECT("'Data Murid'!$E" &amp; ROW($E46)))), "✔", ""))</f>
        <v>#REF!</v>
      </c>
      <c r="X53" s="44" t="e" cm="1">
        <f t="array" aca="1" ref="X53" ca="1">IF(OR(X$11="", INDIRECT("'Data Murid'!$E" &amp; ROW($E46))=""), "", IF(ISNUMBER(SEARCH(TEXT(X$11,"mm/dd/yyyy"), INDIRECT("'Data Murid'!$E" &amp; ROW($E46)))), "✔", ""))</f>
        <v>#REF!</v>
      </c>
      <c r="Y53" s="44" t="e" cm="1">
        <f t="array" aca="1" ref="Y53" ca="1">IF(OR(Y$11="", INDIRECT("'Data Murid'!$E" &amp; ROW($E46))=""), "", IF(ISNUMBER(SEARCH(TEXT(Y$11,"mm/dd/yyyy"), INDIRECT("'Data Murid'!$E" &amp; ROW($E46)))), "✔", ""))</f>
        <v>#REF!</v>
      </c>
      <c r="Z53" s="44" t="e" cm="1">
        <f t="array" aca="1" ref="Z53" ca="1">IF(OR(Z$11="", INDIRECT("'Data Murid'!$E" &amp; ROW($E46))=""), "", IF(ISNUMBER(SEARCH(TEXT(Z$11,"mm/dd/yyyy"), INDIRECT("'Data Murid'!$E" &amp; ROW($E46)))), "✔", ""))</f>
        <v>#REF!</v>
      </c>
      <c r="AA53" s="44" t="e" cm="1">
        <f t="array" aca="1" ref="AA53" ca="1">IF(OR(AA$11="", INDIRECT("'Data Murid'!$E" &amp; ROW($E46))=""), "", IF(ISNUMBER(SEARCH(TEXT(AA$11,"mm/dd/yyyy"), INDIRECT("'Data Murid'!$E" &amp; ROW($E46)))), "✔", ""))</f>
        <v>#REF!</v>
      </c>
      <c r="AB53" s="44" t="e" cm="1">
        <f t="array" aca="1" ref="AB53" ca="1">IF(OR(AB$11="", INDIRECT("'Data Murid'!$E" &amp; ROW($E46))=""), "", IF(ISNUMBER(SEARCH(TEXT(AB$11,"mm/dd/yyyy"), INDIRECT("'Data Murid'!$E" &amp; ROW($E46)))), "✔", ""))</f>
        <v>#REF!</v>
      </c>
      <c r="AC53" s="44" t="e" cm="1">
        <f t="array" aca="1" ref="AC53" ca="1">IF(OR(AC$11="", INDIRECT("'Data Murid'!$E" &amp; ROW($E46))=""), "", IF(ISNUMBER(SEARCH(TEXT(AC$11,"mm/dd/yyyy"), INDIRECT("'Data Murid'!$E" &amp; ROW($E46)))), "✔", ""))</f>
        <v>#REF!</v>
      </c>
      <c r="AD53" s="44" t="e" cm="1">
        <f t="array" aca="1" ref="AD53" ca="1">IF(OR(AD$11="", INDIRECT("'Data Murid'!$E" &amp; ROW($E46))=""), "", IF(ISNUMBER(SEARCH(TEXT(AD$11,"mm/dd/yyyy"), INDIRECT("'Data Murid'!$E" &amp; ROW($E46)))), "✔", ""))</f>
        <v>#REF!</v>
      </c>
      <c r="AE53" s="44" t="e" cm="1">
        <f t="array" aca="1" ref="AE53" ca="1">IF(OR(AE$11="", INDIRECT("'Data Murid'!$E" &amp; ROW($E46))=""), "", IF(ISNUMBER(SEARCH(TEXT(AE$11,"mm/dd/yyyy"), INDIRECT("'Data Murid'!$E" &amp; ROW($E46)))), "✔", ""))</f>
        <v>#REF!</v>
      </c>
      <c r="AF53" s="44" t="e" cm="1">
        <f t="array" aca="1" ref="AF53" ca="1">IF(OR(AF$11="", INDIRECT("'Data Murid'!$E" &amp; ROW($E46))=""), "", IF(ISNUMBER(SEARCH(TEXT(AF$11,"mm/dd/yyyy"), INDIRECT("'Data Murid'!$E" &amp; ROW($E46)))), "✔", ""))</f>
        <v>#REF!</v>
      </c>
      <c r="AG53" s="44" t="e" cm="1">
        <f t="array" aca="1" ref="AG53" ca="1">IF(OR(AG$11="", INDIRECT("'Data Murid'!$E" &amp; ROW($E46))=""), "", IF(ISNUMBER(SEARCH(TEXT(AG$11,"mm/dd/yyyy"), INDIRECT("'Data Murid'!$E" &amp; ROW($E46)))), "✔", ""))</f>
        <v>#REF!</v>
      </c>
      <c r="AH53" s="44" t="e" cm="1">
        <f t="array" aca="1" ref="AH53" ca="1">IF(OR(AH$11="", INDIRECT("'Data Murid'!$E" &amp; ROW($E46))=""), "", IF(ISNUMBER(SEARCH(TEXT(AH$11,"mm/dd/yyyy"), INDIRECT("'Data Murid'!$E" &amp; ROW($E46)))), "✔", ""))</f>
        <v>#REF!</v>
      </c>
      <c r="AI53" s="44" t="e" cm="1">
        <f t="array" aca="1" ref="AI53" ca="1">IF(OR(AI$11="", INDIRECT("'Data Murid'!$E" &amp; ROW($E46))=""), "", IF(ISNUMBER(SEARCH(TEXT(AI$11,"mm/dd/yyyy"), INDIRECT("'Data Murid'!$E" &amp; ROW($E46)))), "✔", ""))</f>
        <v>#REF!</v>
      </c>
      <c r="AJ53" s="40">
        <f t="shared" ca="1" si="2"/>
        <v>0</v>
      </c>
    </row>
    <row r="54" spans="1:36" ht="14.25" customHeight="1" x14ac:dyDescent="0.25">
      <c r="A54" s="27">
        <v>40</v>
      </c>
      <c r="B54" s="25" t="e">
        <f ca="1">'rekap absensi seluruhnya'!B59</f>
        <v>#REF!</v>
      </c>
      <c r="C54" s="52" t="e">
        <f ca="1">'rekap absensi seluruhnya'!C59</f>
        <v>#REF!</v>
      </c>
      <c r="D54" s="25" t="e">
        <f ca="1">'rekap absensi seluruhnya'!D59</f>
        <v>#REF!</v>
      </c>
      <c r="E54" s="45" t="e" cm="1">
        <f t="array" aca="1" ref="E54" ca="1">IF(OR(E$11="", INDIRECT("'Data Murid'!$E" &amp; ROW($E47))=""), "", IF(ISNUMBER(SEARCH(TEXT(E$11,"mm/dd/yyyy"), INDIRECT("'Data Murid'!$E" &amp; ROW($E47)))), "✔", ""))</f>
        <v>#REF!</v>
      </c>
      <c r="F54" s="45" t="e" cm="1">
        <f t="array" aca="1" ref="F54" ca="1">IF(OR(F$11="", INDIRECT("'Data Murid'!$E" &amp; ROW($E47))=""), "", IF(ISNUMBER(SEARCH(TEXT(F$11,"mm/dd/yyyy"), INDIRECT("'Data Murid'!$E" &amp; ROW($E47)))), "✔", ""))</f>
        <v>#REF!</v>
      </c>
      <c r="G54" s="45" t="e" cm="1">
        <f t="array" aca="1" ref="G54" ca="1">IF(OR(G$11="", INDIRECT("'Data Murid'!$E" &amp; ROW($E47))=""), "", IF(ISNUMBER(SEARCH(TEXT(G$11,"mm/dd/yyyy"), INDIRECT("'Data Murid'!$E" &amp; ROW($E47)))), "✔", ""))</f>
        <v>#REF!</v>
      </c>
      <c r="H54" s="45" t="e" cm="1">
        <f t="array" aca="1" ref="H54" ca="1">IF(OR(H$11="", INDIRECT("'Data Murid'!$E" &amp; ROW($E47))=""), "", IF(ISNUMBER(SEARCH(TEXT(H$11,"mm/dd/yyyy"), INDIRECT("'Data Murid'!$E" &amp; ROW($E47)))), "✔", ""))</f>
        <v>#REF!</v>
      </c>
      <c r="I54" s="45" t="e" cm="1">
        <f t="array" aca="1" ref="I54" ca="1">IF(OR(I$11="", INDIRECT("'Data Murid'!$E" &amp; ROW($E47))=""), "", IF(ISNUMBER(SEARCH(TEXT(I$11,"mm/dd/yyyy"), INDIRECT("'Data Murid'!$E" &amp; ROW($E47)))), "✔", ""))</f>
        <v>#REF!</v>
      </c>
      <c r="J54" s="45" t="e" cm="1">
        <f t="array" aca="1" ref="J54" ca="1">IF(OR(J$11="", INDIRECT("'Data Murid'!$E" &amp; ROW($E47))=""), "", IF(ISNUMBER(SEARCH(TEXT(J$11,"mm/dd/yyyy"), INDIRECT("'Data Murid'!$E" &amp; ROW($E47)))), "✔", ""))</f>
        <v>#REF!</v>
      </c>
      <c r="K54" s="45" t="e" cm="1">
        <f t="array" aca="1" ref="K54" ca="1">IF(OR(K$11="", INDIRECT("'Data Murid'!$E" &amp; ROW($E47))=""), "", IF(ISNUMBER(SEARCH(TEXT(K$11,"mm/dd/yyyy"), INDIRECT("'Data Murid'!$E" &amp; ROW($E47)))), "✔", ""))</f>
        <v>#REF!</v>
      </c>
      <c r="L54" s="45" t="e" cm="1">
        <f t="array" aca="1" ref="L54" ca="1">IF(OR(L$11="", INDIRECT("'Data Murid'!$E" &amp; ROW($E47))=""), "", IF(ISNUMBER(SEARCH(TEXT(L$11,"mm/dd/yyyy"), INDIRECT("'Data Murid'!$E" &amp; ROW($E47)))), "✔", ""))</f>
        <v>#REF!</v>
      </c>
      <c r="M54" s="45" t="e" cm="1">
        <f t="array" aca="1" ref="M54" ca="1">IF(OR(M$11="", INDIRECT("'Data Murid'!$E" &amp; ROW($E47))=""), "", IF(ISNUMBER(SEARCH(TEXT(M$11,"mm/dd/yyyy"), INDIRECT("'Data Murid'!$E" &amp; ROW($E47)))), "✔", ""))</f>
        <v>#REF!</v>
      </c>
      <c r="N54" s="45" t="e" cm="1">
        <f t="array" aca="1" ref="N54" ca="1">IF(OR(N$11="", INDIRECT("'Data Murid'!$E" &amp; ROW($E47))=""), "", IF(ISNUMBER(SEARCH(TEXT(N$11,"mm/dd/yyyy"), INDIRECT("'Data Murid'!$E" &amp; ROW($E47)))), "✔", ""))</f>
        <v>#REF!</v>
      </c>
      <c r="O54" s="45" t="e" cm="1">
        <f t="array" aca="1" ref="O54" ca="1">IF(OR(O$11="", INDIRECT("'Data Murid'!$E" &amp; ROW($E47))=""), "", IF(ISNUMBER(SEARCH(TEXT(O$11,"mm/dd/yyyy"), INDIRECT("'Data Murid'!$E" &amp; ROW($E47)))), "✔", ""))</f>
        <v>#REF!</v>
      </c>
      <c r="P54" s="45" t="e" cm="1">
        <f t="array" aca="1" ref="P54" ca="1">IF(OR(P$11="", INDIRECT("'Data Murid'!$E" &amp; ROW($E47))=""), "", IF(ISNUMBER(SEARCH(TEXT(P$11,"mm/dd/yyyy"), INDIRECT("'Data Murid'!$E" &amp; ROW($E47)))), "✔", ""))</f>
        <v>#REF!</v>
      </c>
      <c r="Q54" s="45" t="e" cm="1">
        <f t="array" aca="1" ref="Q54" ca="1">IF(OR(Q$11="", INDIRECT("'Data Murid'!$E" &amp; ROW($E47))=""), "", IF(ISNUMBER(SEARCH(TEXT(Q$11,"mm/dd/yyyy"), INDIRECT("'Data Murid'!$E" &amp; ROW($E47)))), "✔", ""))</f>
        <v>#REF!</v>
      </c>
      <c r="R54" s="45" t="e" cm="1">
        <f t="array" aca="1" ref="R54" ca="1">IF(OR(R$11="", INDIRECT("'Data Murid'!$E" &amp; ROW($E47))=""), "", IF(ISNUMBER(SEARCH(TEXT(R$11,"mm/dd/yyyy"), INDIRECT("'Data Murid'!$E" &amp; ROW($E47)))), "✔", ""))</f>
        <v>#REF!</v>
      </c>
      <c r="S54" s="45" t="e" cm="1">
        <f t="array" aca="1" ref="S54" ca="1">IF(OR(S$11="", INDIRECT("'Data Murid'!$E" &amp; ROW($E47))=""), "", IF(ISNUMBER(SEARCH(TEXT(S$11,"mm/dd/yyyy"), INDIRECT("'Data Murid'!$E" &amp; ROW($E47)))), "✔", ""))</f>
        <v>#REF!</v>
      </c>
      <c r="T54" s="45" t="e" cm="1">
        <f t="array" aca="1" ref="T54" ca="1">IF(OR(T$11="", INDIRECT("'Data Murid'!$E" &amp; ROW($E47))=""), "", IF(ISNUMBER(SEARCH(TEXT(T$11,"mm/dd/yyyy"), INDIRECT("'Data Murid'!$E" &amp; ROW($E47)))), "✔", ""))</f>
        <v>#REF!</v>
      </c>
      <c r="U54" s="45" t="e" cm="1">
        <f t="array" aca="1" ref="U54" ca="1">IF(OR(U$11="", INDIRECT("'Data Murid'!$E" &amp; ROW($E47))=""), "", IF(ISNUMBER(SEARCH(TEXT(U$11,"mm/dd/yyyy"), INDIRECT("'Data Murid'!$E" &amp; ROW($E47)))), "✔", ""))</f>
        <v>#REF!</v>
      </c>
      <c r="V54" s="45" t="e" cm="1">
        <f t="array" aca="1" ref="V54" ca="1">IF(OR(V$11="", INDIRECT("'Data Murid'!$E" &amp; ROW($E47))=""), "", IF(ISNUMBER(SEARCH(TEXT(V$11,"mm/dd/yyyy"), INDIRECT("'Data Murid'!$E" &amp; ROW($E47)))), "✔", ""))</f>
        <v>#REF!</v>
      </c>
      <c r="W54" s="45" t="e" cm="1">
        <f t="array" aca="1" ref="W54" ca="1">IF(OR(W$11="", INDIRECT("'Data Murid'!$E" &amp; ROW($E47))=""), "", IF(ISNUMBER(SEARCH(TEXT(W$11,"mm/dd/yyyy"), INDIRECT("'Data Murid'!$E" &amp; ROW($E47)))), "✔", ""))</f>
        <v>#REF!</v>
      </c>
      <c r="X54" s="45" t="e" cm="1">
        <f t="array" aca="1" ref="X54" ca="1">IF(OR(X$11="", INDIRECT("'Data Murid'!$E" &amp; ROW($E47))=""), "", IF(ISNUMBER(SEARCH(TEXT(X$11,"mm/dd/yyyy"), INDIRECT("'Data Murid'!$E" &amp; ROW($E47)))), "✔", ""))</f>
        <v>#REF!</v>
      </c>
      <c r="Y54" s="45" t="e" cm="1">
        <f t="array" aca="1" ref="Y54" ca="1">IF(OR(Y$11="", INDIRECT("'Data Murid'!$E" &amp; ROW($E47))=""), "", IF(ISNUMBER(SEARCH(TEXT(Y$11,"mm/dd/yyyy"), INDIRECT("'Data Murid'!$E" &amp; ROW($E47)))), "✔", ""))</f>
        <v>#REF!</v>
      </c>
      <c r="Z54" s="45" t="e" cm="1">
        <f t="array" aca="1" ref="Z54" ca="1">IF(OR(Z$11="", INDIRECT("'Data Murid'!$E" &amp; ROW($E47))=""), "", IF(ISNUMBER(SEARCH(TEXT(Z$11,"mm/dd/yyyy"), INDIRECT("'Data Murid'!$E" &amp; ROW($E47)))), "✔", ""))</f>
        <v>#REF!</v>
      </c>
      <c r="AA54" s="45" t="e" cm="1">
        <f t="array" aca="1" ref="AA54" ca="1">IF(OR(AA$11="", INDIRECT("'Data Murid'!$E" &amp; ROW($E47))=""), "", IF(ISNUMBER(SEARCH(TEXT(AA$11,"mm/dd/yyyy"), INDIRECT("'Data Murid'!$E" &amp; ROW($E47)))), "✔", ""))</f>
        <v>#REF!</v>
      </c>
      <c r="AB54" s="45" t="e" cm="1">
        <f t="array" aca="1" ref="AB54" ca="1">IF(OR(AB$11="", INDIRECT("'Data Murid'!$E" &amp; ROW($E47))=""), "", IF(ISNUMBER(SEARCH(TEXT(AB$11,"mm/dd/yyyy"), INDIRECT("'Data Murid'!$E" &amp; ROW($E47)))), "✔", ""))</f>
        <v>#REF!</v>
      </c>
      <c r="AC54" s="45" t="e" cm="1">
        <f t="array" aca="1" ref="AC54" ca="1">IF(OR(AC$11="", INDIRECT("'Data Murid'!$E" &amp; ROW($E47))=""), "", IF(ISNUMBER(SEARCH(TEXT(AC$11,"mm/dd/yyyy"), INDIRECT("'Data Murid'!$E" &amp; ROW($E47)))), "✔", ""))</f>
        <v>#REF!</v>
      </c>
      <c r="AD54" s="45" t="e" cm="1">
        <f t="array" aca="1" ref="AD54" ca="1">IF(OR(AD$11="", INDIRECT("'Data Murid'!$E" &amp; ROW($E47))=""), "", IF(ISNUMBER(SEARCH(TEXT(AD$11,"mm/dd/yyyy"), INDIRECT("'Data Murid'!$E" &amp; ROW($E47)))), "✔", ""))</f>
        <v>#REF!</v>
      </c>
      <c r="AE54" s="45" t="e" cm="1">
        <f t="array" aca="1" ref="AE54" ca="1">IF(OR(AE$11="", INDIRECT("'Data Murid'!$E" &amp; ROW($E47))=""), "", IF(ISNUMBER(SEARCH(TEXT(AE$11,"mm/dd/yyyy"), INDIRECT("'Data Murid'!$E" &amp; ROW($E47)))), "✔", ""))</f>
        <v>#REF!</v>
      </c>
      <c r="AF54" s="45" t="e" cm="1">
        <f t="array" aca="1" ref="AF54" ca="1">IF(OR(AF$11="", INDIRECT("'Data Murid'!$E" &amp; ROW($E47))=""), "", IF(ISNUMBER(SEARCH(TEXT(AF$11,"mm/dd/yyyy"), INDIRECT("'Data Murid'!$E" &amp; ROW($E47)))), "✔", ""))</f>
        <v>#REF!</v>
      </c>
      <c r="AG54" s="45" t="e" cm="1">
        <f t="array" aca="1" ref="AG54" ca="1">IF(OR(AG$11="", INDIRECT("'Data Murid'!$E" &amp; ROW($E47))=""), "", IF(ISNUMBER(SEARCH(TEXT(AG$11,"mm/dd/yyyy"), INDIRECT("'Data Murid'!$E" &amp; ROW($E47)))), "✔", ""))</f>
        <v>#REF!</v>
      </c>
      <c r="AH54" s="45" t="e" cm="1">
        <f t="array" aca="1" ref="AH54" ca="1">IF(OR(AH$11="", INDIRECT("'Data Murid'!$E" &amp; ROW($E47))=""), "", IF(ISNUMBER(SEARCH(TEXT(AH$11,"mm/dd/yyyy"), INDIRECT("'Data Murid'!$E" &amp; ROW($E47)))), "✔", ""))</f>
        <v>#REF!</v>
      </c>
      <c r="AI54" s="45" t="e" cm="1">
        <f t="array" aca="1" ref="AI54" ca="1">IF(OR(AI$11="", INDIRECT("'Data Murid'!$E" &amp; ROW($E47))=""), "", IF(ISNUMBER(SEARCH(TEXT(AI$11,"mm/dd/yyyy"), INDIRECT("'Data Murid'!$E" &amp; ROW($E47)))), "✔", ""))</f>
        <v>#REF!</v>
      </c>
      <c r="AJ54" s="40">
        <f t="shared" ca="1" si="2"/>
        <v>0</v>
      </c>
    </row>
  </sheetData>
  <mergeCells count="14">
    <mergeCell ref="A7:AJ7"/>
    <mergeCell ref="A1:AJ1"/>
    <mergeCell ref="A2:AJ2"/>
    <mergeCell ref="A3:AJ3"/>
    <mergeCell ref="A4:AJ4"/>
    <mergeCell ref="A6:AJ6"/>
    <mergeCell ref="A14:AJ14"/>
    <mergeCell ref="A9:A10"/>
    <mergeCell ref="C9:C12"/>
    <mergeCell ref="D9:D12"/>
    <mergeCell ref="E9:AI10"/>
    <mergeCell ref="AJ9:AJ12"/>
    <mergeCell ref="A11:A12"/>
    <mergeCell ref="B11:B12"/>
  </mergeCells>
  <conditionalFormatting sqref="E11:AI12">
    <cfRule type="expression" dxfId="5" priority="123">
      <formula>E$12="sun"</formula>
    </cfRule>
    <cfRule type="expression" dxfId="4" priority="124">
      <formula>E$12="sat"</formula>
    </cfRule>
  </conditionalFormatting>
  <conditionalFormatting sqref="E13:AI13">
    <cfRule type="expression" dxfId="3" priority="127">
      <formula>E$12="mgg"</formula>
    </cfRule>
    <cfRule type="expression" dxfId="2" priority="128">
      <formula>E$12="sab"</formula>
    </cfRule>
  </conditionalFormatting>
  <conditionalFormatting sqref="E15:AI54">
    <cfRule type="expression" dxfId="1" priority="119">
      <formula>E$12="mgg"</formula>
    </cfRule>
    <cfRule type="expression" dxfId="0" priority="120">
      <formula>E$12="sab"</formula>
    </cfRule>
  </conditionalFormatting>
  <printOptions horizontalCentered="1"/>
  <pageMargins left="0.25" right="0.25" top="0.75" bottom="0.75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rekap absensi seluruhnya</vt:lpstr>
      <vt:lpstr>Jul</vt:lpstr>
      <vt:lpstr>Ags</vt:lpstr>
      <vt:lpstr>Sep</vt:lpstr>
      <vt:lpstr>Okt</vt:lpstr>
      <vt:lpstr>Nov</vt:lpstr>
      <vt:lpstr>Des</vt:lpstr>
      <vt:lpstr>Jan</vt:lpstr>
      <vt:lpstr>Feb</vt:lpstr>
      <vt:lpstr>Mar</vt:lpstr>
      <vt:lpstr>Apr</vt:lpstr>
      <vt:lpstr>Mei</vt:lpstr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Fahrezi</dc:creator>
  <dc:description/>
  <cp:lastModifiedBy>Fahrezi Isnaen</cp:lastModifiedBy>
  <cp:revision>1</cp:revision>
  <cp:lastPrinted>2025-11-20T03:00:19Z</cp:lastPrinted>
  <dcterms:created xsi:type="dcterms:W3CDTF">2023-07-25T02:13:21Z</dcterms:created>
  <dcterms:modified xsi:type="dcterms:W3CDTF">2025-11-22T13:11:17Z</dcterms:modified>
  <dc:language>en-US</dc:language>
</cp:coreProperties>
</file>